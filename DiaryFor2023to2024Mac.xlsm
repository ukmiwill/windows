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1" codeName="{C80E003A-6C80-AF87-3323-10F97C11A349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ukmiwill/Documents/myrepos/git/windows/"/>
    </mc:Choice>
  </mc:AlternateContent>
  <xr:revisionPtr revIDLastSave="0" documentId="13_ncr:1_{2ED41E49-591E-0B40-B35B-60FC83CBD347}" xr6:coauthVersionLast="47" xr6:coauthVersionMax="47" xr10:uidLastSave="{00000000-0000-0000-0000-000000000000}"/>
  <bookViews>
    <workbookView xWindow="-34560" yWindow="17500" windowWidth="34560" windowHeight="21580" tabRatio="800" activeTab="3" xr2:uid="{00000000-000D-0000-FFFF-FFFF00000000}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r:id="rId5"/>
  </sheets>
  <functionGroups builtInGroupCount="19"/>
  <definedNames>
    <definedName name="DaysColumn" localSheetId="2">'Annual Leave 2021 to 2022'!$E$3:$E$6</definedName>
    <definedName name="DaysColumn" localSheetId="4">'Annual Leave 2022 to 2023'!$E$3:$E$6</definedName>
    <definedName name="DaysToStartYear" localSheetId="4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>#REF!</definedName>
    <definedName name="TotalTimeDecimal">WorkingDay!$H$10</definedName>
    <definedName name="TotalTimeImperial">WorkingDay!$G$10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0" l="1"/>
  <c r="A26" i="13" l="1"/>
  <c r="A20" i="13"/>
  <c r="A19" i="13"/>
  <c r="A12" i="13"/>
  <c r="A9" i="13"/>
  <c r="A4" i="13"/>
  <c r="A7" i="13"/>
  <c r="A5" i="13"/>
  <c r="K2" i="60"/>
  <c r="G2" i="60" l="1"/>
  <c r="G5" i="60" s="1"/>
  <c r="H5" i="60" s="1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E11" i="60" l="1"/>
  <c r="G3" i="58"/>
  <c r="G2" i="58"/>
  <c r="F11" i="60" l="1"/>
  <c r="E12" i="60"/>
  <c r="E13" i="60" s="1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E19" i="60" s="1"/>
  <c r="F16" i="58"/>
  <c r="E18" i="58"/>
  <c r="F17" i="58"/>
  <c r="F19" i="60" l="1"/>
  <c r="E20" i="60"/>
  <c r="F18" i="60"/>
  <c r="F18" i="58"/>
  <c r="E19" i="58"/>
  <c r="E21" i="60" l="1"/>
  <c r="F20" i="60"/>
  <c r="F19" i="58"/>
  <c r="E20" i="58"/>
  <c r="F21" i="60" l="1"/>
  <c r="E22" i="60"/>
  <c r="F20" i="58"/>
  <c r="E21" i="58"/>
  <c r="E23" i="60" l="1"/>
  <c r="F22" i="60"/>
  <c r="E22" i="58"/>
  <c r="F21" i="58"/>
  <c r="F23" i="60" l="1"/>
  <c r="E24" i="60"/>
  <c r="E23" i="58"/>
  <c r="F22" i="58"/>
  <c r="F24" i="60" l="1"/>
  <c r="E25" i="60"/>
  <c r="E24" i="58"/>
  <c r="F23" i="58"/>
  <c r="F25" i="60" l="1"/>
  <c r="E26" i="60"/>
  <c r="F24" i="58"/>
  <c r="E25" i="58"/>
  <c r="F26" i="60" l="1"/>
  <c r="E27" i="60"/>
  <c r="F25" i="58"/>
  <c r="E26" i="58"/>
  <c r="F27" i="60" l="1"/>
  <c r="E28" i="60"/>
  <c r="F26" i="58"/>
  <c r="E27" i="58"/>
  <c r="E28" i="58" s="1"/>
  <c r="F28" i="60" l="1"/>
  <c r="E29" i="60"/>
  <c r="F29" i="60" s="1"/>
  <c r="E29" i="58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2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4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<sst xmlns="http://schemas.openxmlformats.org/spreadsheetml/2006/main" count="459" uniqueCount="135">
  <si>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</si>
  <si>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</si>
  <si>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</si>
  <si>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</si>
  <si>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</si>
  <si>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</si>
  <si>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</si>
  <si>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</si>
  <si>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</si>
  <si>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</si>
  <si>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</si>
  <si>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</si>
  <si>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</si>
  <si>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</si>
  <si>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</si>
  <si>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</si>
  <si>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</si>
  <si>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</si>
  <si>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</si>
  <si>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</si>
  <si>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</si>
  <si>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</si>
  <si>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</si>
  <si>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</si>
  <si>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</si>
  <si>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</si>
  <si>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</si>
  <si>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</si>
  <si>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</si>
  <si>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</si>
  <si>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</si>
  <si>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</si>
  <si>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</si>
  <si>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</si>
  <si>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</si>
  <si>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</si>
  <si>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</si>
  <si>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</si>
  <si>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</si>
  <si>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</si>
  <si>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</si>
  <si>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</si>
  <si>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</si>
  <si>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</si>
  <si>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</si>
  <si>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</si>
  <si>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</si>
  <si>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</si>
  <si>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</si>
  <si>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</si>
  <si>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</si>
  <si>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</si>
  <si>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</si>
  <si>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</si>
  <si>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</si>
  <si>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</si>
  <si>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</si>
  <si>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</si>
  <si>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</si>
  <si>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</si>
  <si>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</si>
  <si>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</si>
  <si>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</si>
  <si>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</si>
  <si>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</si>
  <si>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</si>
  <si>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</si>
  <si>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</si>
  <si>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</si>
  <si>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</si>
  <si>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</si>
  <si>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</si>
  <si>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</si>
  <si>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</si>
  <si>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</si>
  <si>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</si>
  <si>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</si>
  <si>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</si>
  <si>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</si>
  <si>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</si>
  <si>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</si>
  <si>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</si>
  <si>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</si>
  <si>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</si>
  <si>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</si>
  <si>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</si>
  <si>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</si>
  <si>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</si>
  <si>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</si>
  <si>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</si>
  <si>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</si>
  <si>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Hemel Hempstead (Gateway) - Check In</t>
  </si>
  <si>
    <t>Hemel Hempstead (Gateway) - Check Out</t>
  </si>
  <si>
    <t>Hemel Hempstead (Gateway)</t>
  </si>
  <si>
    <t>AAA Screening</t>
  </si>
  <si>
    <t>Christmas Eve</t>
  </si>
  <si>
    <t>Christmas Day</t>
  </si>
  <si>
    <t>Boxing Day</t>
  </si>
  <si>
    <t>Green Dragon Check in</t>
  </si>
  <si>
    <t>Green Dragon</t>
  </si>
  <si>
    <t>Green Dragon Check out</t>
  </si>
  <si>
    <t>Annual Leave</t>
  </si>
  <si>
    <t>The Stables, Birch Check Out - Thame Check in</t>
  </si>
  <si>
    <t>Entered in Confluence</t>
  </si>
  <si>
    <t>Entered in SS</t>
  </si>
  <si>
    <t>Back in work</t>
  </si>
  <si>
    <t>Dentist - descaling</t>
  </si>
  <si>
    <t>AAA screening 10:45</t>
  </si>
  <si>
    <t>111</t>
  </si>
  <si>
    <t>222</t>
  </si>
  <si>
    <t>333</t>
  </si>
  <si>
    <t>444</t>
  </si>
  <si>
    <t>666</t>
  </si>
  <si>
    <t>555</t>
  </si>
  <si>
    <t>999</t>
  </si>
  <si>
    <t>888</t>
  </si>
  <si>
    <t>777</t>
  </si>
  <si>
    <t>12</t>
  </si>
  <si>
    <t>11</t>
  </si>
  <si>
    <t>10</t>
  </si>
  <si>
    <t>15</t>
  </si>
  <si>
    <t>14</t>
  </si>
  <si>
    <t>13</t>
  </si>
  <si>
    <t>18</t>
  </si>
  <si>
    <t>17</t>
  </si>
  <si>
    <t>16</t>
  </si>
  <si>
    <t>21</t>
  </si>
  <si>
    <t>20</t>
  </si>
  <si>
    <t>19</t>
  </si>
  <si>
    <t>24</t>
  </si>
  <si>
    <t>23</t>
  </si>
  <si>
    <t>22</t>
  </si>
  <si>
    <t>In the office</t>
  </si>
  <si>
    <t>In the office - but won't be</t>
  </si>
  <si>
    <t>Candidate for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</si>
</sst>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-mmm\-yyyy"/>
  </numFmts>
  <fonts count="14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  <font>
      <b/>
      <sz val="16"/>
      <name val="CG Times (W1)"/>
    </font>
    <font>
      <sz val="16"/>
      <name val="CG Times (W1)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4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/>
    <xf numFmtId="0" fontId="1" fillId="0" borderId="1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Border="1"/>
    <xf numFmtId="46" fontId="2" fillId="4" borderId="2" xfId="0" applyNumberFormat="1" applyFont="1" applyFill="1" applyBorder="1"/>
    <xf numFmtId="164" fontId="0" fillId="16" borderId="1" xfId="0" applyNumberFormat="1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46" fontId="0" fillId="4" borderId="1" xfId="0" applyNumberFormat="1" applyFill="1" applyBorder="1"/>
    <xf numFmtId="46" fontId="12" fillId="4" borderId="2" xfId="0" applyNumberFormat="1" applyFont="1" applyFill="1" applyBorder="1"/>
    <xf numFmtId="46" fontId="12" fillId="2" borderId="2" xfId="0" applyNumberFormat="1" applyFont="1" applyFill="1" applyBorder="1"/>
    <xf numFmtId="164" fontId="0" fillId="17" borderId="1" xfId="0" applyNumberFormat="1" applyFill="1" applyBorder="1" applyAlignment="1">
      <alignment horizontal="left"/>
    </xf>
    <xf numFmtId="46" fontId="13" fillId="2" borderId="2" xfId="0" applyNumberFormat="1" applyFont="1" applyFill="1" applyBorder="1"/>
    <xf numFmtId="46" fontId="0" fillId="4" borderId="2" xfId="0" quotePrefix="1" applyNumberFormat="1" applyFill="1" applyBorder="1"/>
    <xf numFmtId="0" fontId="0" fillId="0" borderId="2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FF"/>
      <color rgb="FF56D7C2"/>
      <color rgb="FF00DFDA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901700</xdr:colOff>
      <xdr:row>5</xdr:row>
      <xdr:rowOff>12700</xdr:rowOff>
    </xdr:from>
    <xdr:to>
      <xdr:col>1</xdr:col>
      <xdr:colOff>0</xdr:colOff>
      <xdr:row>6</xdr:row>
      <xdr:rowOff>25400</xdr:rowOff>
    </xdr:to>
    <xdr:sp macro="" textlink="">
      <xdr:nvSpPr>
        <xdr:cNvPr id="1027" name="spButtonPeriodOneIn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5</xdr:row>
      <xdr:rowOff>12700</xdr:rowOff>
    </xdr:from>
    <xdr:to>
      <xdr:col>4</xdr:col>
      <xdr:colOff>0</xdr:colOff>
      <xdr:row>6</xdr:row>
      <xdr:rowOff>25400</xdr:rowOff>
    </xdr:to>
    <xdr:sp macro="" textlink="">
      <xdr:nvSpPr>
        <xdr:cNvPr id="1028" name="spButtonPeriodOneOut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901700</xdr:colOff>
      <xdr:row>13</xdr:row>
      <xdr:rowOff>12700</xdr:rowOff>
    </xdr:from>
    <xdr:to>
      <xdr:col>1</xdr:col>
      <xdr:colOff>0</xdr:colOff>
      <xdr:row>14</xdr:row>
      <xdr:rowOff>0</xdr:rowOff>
    </xdr:to>
    <xdr:sp macro="" textlink="">
      <xdr:nvSpPr>
        <xdr:cNvPr id="1029" name="spButtonPeriodTwoIn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13</xdr:row>
      <xdr:rowOff>12700</xdr:rowOff>
    </xdr:from>
    <xdr:to>
      <xdr:col>4</xdr:col>
      <xdr:colOff>0</xdr:colOff>
      <xdr:row>14</xdr:row>
      <xdr:rowOff>0</xdr:rowOff>
    </xdr:to>
    <xdr:sp macro="" textlink="">
      <xdr:nvSpPr>
        <xdr:cNvPr id="1030" name="spButtonPeriodTwoOut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901700</xdr:colOff>
      <xdr:row>5</xdr:row>
      <xdr:rowOff>12700</xdr:rowOff>
    </xdr:from>
    <xdr:to>
      <xdr:col>1</xdr:col>
      <xdr:colOff>0</xdr:colOff>
      <xdr:row>6</xdr:row>
      <xdr:rowOff>25400</xdr:rowOff>
    </xdr:to>
    <xdr:pic>
      <xdr:nvPicPr>
        <xdr:cNvPr id="2" name="spButtonPeriodOneIn">
          <a:extLst>
            <a:ext uri="{FF2B5EF4-FFF2-40B4-BE49-F238E27FC236}">
              <a16:creationId xmlns:a16="http://schemas.microsoft.com/office/drawing/2014/main" id="{B2C35504-B9BC-07AC-7E57-D548A5A4F5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700" y="1028700"/>
          <a:ext cx="711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5</xdr:row>
      <xdr:rowOff>12700</xdr:rowOff>
    </xdr:from>
    <xdr:to>
      <xdr:col>4</xdr:col>
      <xdr:colOff>0</xdr:colOff>
      <xdr:row>6</xdr:row>
      <xdr:rowOff>25400</xdr:rowOff>
    </xdr:to>
    <xdr:pic>
      <xdr:nvPicPr>
        <xdr:cNvPr id="3" name="spButtonPeriodOneOut">
          <a:extLst>
            <a:ext uri="{FF2B5EF4-FFF2-40B4-BE49-F238E27FC236}">
              <a16:creationId xmlns:a16="http://schemas.microsoft.com/office/drawing/2014/main" id="{F2A0B737-C970-5613-4A37-369C8FF7E8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3500" y="1028700"/>
          <a:ext cx="723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901700</xdr:colOff>
      <xdr:row>13</xdr:row>
      <xdr:rowOff>12700</xdr:rowOff>
    </xdr:from>
    <xdr:to>
      <xdr:col>1</xdr:col>
      <xdr:colOff>0</xdr:colOff>
      <xdr:row>14</xdr:row>
      <xdr:rowOff>0</xdr:rowOff>
    </xdr:to>
    <xdr:pic>
      <xdr:nvPicPr>
        <xdr:cNvPr id="4" name="spButtonPeriodTwoIn">
          <a:extLst>
            <a:ext uri="{FF2B5EF4-FFF2-40B4-BE49-F238E27FC236}">
              <a16:creationId xmlns:a16="http://schemas.microsoft.com/office/drawing/2014/main" id="{95629A9B-4A2D-A604-E5C6-ABDA96524B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700" y="2692400"/>
          <a:ext cx="711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13</xdr:row>
      <xdr:rowOff>12700</xdr:rowOff>
    </xdr:from>
    <xdr:to>
      <xdr:col>4</xdr:col>
      <xdr:colOff>0</xdr:colOff>
      <xdr:row>14</xdr:row>
      <xdr:rowOff>0</xdr:rowOff>
    </xdr:to>
    <xdr:pic>
      <xdr:nvPicPr>
        <xdr:cNvPr id="5" name="spButtonPeriodTwoOut">
          <a:extLst>
            <a:ext uri="{FF2B5EF4-FFF2-40B4-BE49-F238E27FC236}">
              <a16:creationId xmlns:a16="http://schemas.microsoft.com/office/drawing/2014/main" id="{7880B5AD-5B83-D124-BB0A-D81B6835751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3500" y="2692400"/>
          <a:ext cx="723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29"/>
  <sheetViews>
    <sheetView workbookViewId="0">
      <selection activeCell="A29" sqref="A29"/>
    </sheetView>
  </sheetViews>
  <sheetFormatPr baseColWidth="10" defaultColWidth="8.6640625" defaultRowHeight="16"/>
  <cols>
    <col min="1" max="1" width="25" bestFit="1" customWidth="1"/>
  </cols>
  <sheetData>
    <row r="1" spans="1:6">
      <c r="A1" s="7" t="s">
        <v>1</v>
      </c>
    </row>
    <row r="2" spans="1:6">
      <c r="A2" s="7" t="s">
        <v>0</v>
      </c>
    </row>
    <row r="3" spans="1:6">
      <c r="A3" s="7" t="s">
        <v>3</v>
      </c>
    </row>
    <row r="4" spans="1:6">
      <c r="A4" s="7" t="str">
        <f>CHAR(189) &amp; " Priv"</f>
        <v>Ω Priv</v>
      </c>
    </row>
    <row r="5" spans="1:6">
      <c r="A5" s="7" t="str">
        <f>CHAR(189) &amp; " AL (AM)"</f>
        <v>Ω AL (AM)</v>
      </c>
    </row>
    <row r="6" spans="1:6">
      <c r="A6" s="7" t="s">
        <v>6</v>
      </c>
    </row>
    <row r="7" spans="1:6">
      <c r="A7" s="7" t="str">
        <f>CHAR(189) &amp; " AL (PM)"</f>
        <v>Ω AL (PM)</v>
      </c>
    </row>
    <row r="8" spans="1:6">
      <c r="A8" s="7" t="s">
        <v>9</v>
      </c>
    </row>
    <row r="9" spans="1:6">
      <c r="A9" s="7" t="str">
        <f>CHAR(189) &amp; " AL and " &amp; CHAR(189) &amp; " Priv"</f>
        <v>Ω AL and Ω Priv</v>
      </c>
    </row>
    <row r="10" spans="1:6">
      <c r="A10" s="7" t="s">
        <v>7</v>
      </c>
      <c r="F10" s="46"/>
    </row>
    <row r="11" spans="1:6">
      <c r="A11" s="7" t="s">
        <v>16</v>
      </c>
    </row>
    <row r="12" spans="1:6">
      <c r="A12" s="7" t="str">
        <f>CHAR(189) &amp; " Flexi and " &amp; CHAR(189) &amp; " AL"</f>
        <v>Ω Flexi and Ω AL</v>
      </c>
    </row>
    <row r="13" spans="1:6">
      <c r="A13" s="7" t="s">
        <v>24</v>
      </c>
    </row>
    <row r="14" spans="1:6">
      <c r="A14" s="7" t="s">
        <v>8</v>
      </c>
    </row>
    <row r="15" spans="1:6">
      <c r="A15" s="7" t="s">
        <v>13</v>
      </c>
    </row>
    <row r="16" spans="1:6">
      <c r="A16" s="7" t="s">
        <v>10</v>
      </c>
    </row>
    <row r="17" spans="1:1">
      <c r="A17" s="7" t="s">
        <v>52</v>
      </c>
    </row>
    <row r="18" spans="1:1">
      <c r="A18" s="7" t="s">
        <v>4</v>
      </c>
    </row>
    <row r="19" spans="1:1">
      <c r="A19" s="7" t="str">
        <f>"Request for " &amp; CHAR(189) &amp; " AL (AM)"</f>
        <v>Request for Ω AL (AM)</v>
      </c>
    </row>
    <row r="20" spans="1:1">
      <c r="A20" s="7" t="str">
        <f>"Request for " &amp; CHAR(189) &amp; " AL (PM)"</f>
        <v>Request for Ω AL (PM)</v>
      </c>
    </row>
    <row r="21" spans="1:1">
      <c r="A21" s="7" t="s">
        <v>14</v>
      </c>
    </row>
    <row r="22" spans="1:1">
      <c r="A22" s="7" t="s">
        <v>21</v>
      </c>
    </row>
    <row r="23" spans="1:1">
      <c r="A23" s="7" t="s">
        <v>12</v>
      </c>
    </row>
    <row r="24" spans="1:1">
      <c r="A24" s="7" t="s">
        <v>5</v>
      </c>
    </row>
    <row r="25" spans="1:1">
      <c r="A25" s="7" t="s">
        <v>11</v>
      </c>
    </row>
    <row r="26" spans="1:1">
      <c r="A26" s="7" t="str">
        <f>CHAR(189) &amp; " AL and " &amp; CHAR(189) &amp; " Concessionary"</f>
        <v>Ω AL and Ω Concessionary</v>
      </c>
    </row>
    <row r="27" spans="1:1">
      <c r="A27" s="7" t="s">
        <v>34</v>
      </c>
    </row>
    <row r="28" spans="1:1">
      <c r="A28" s="7" t="s">
        <v>35</v>
      </c>
    </row>
    <row r="29" spans="1:1">
      <c r="A29" s="7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ingDay"/>
  <dimension ref="B4:M39"/>
  <sheetViews>
    <sheetView zoomScale="82" zoomScaleNormal="70" workbookViewId="0">
      <selection activeCell="L25" sqref="L25:M30"/>
    </sheetView>
  </sheetViews>
  <sheetFormatPr baseColWidth="10" defaultColWidth="9" defaultRowHeight="16"/>
  <cols>
    <col min="1" max="1" width="21.1640625" style="15" customWidth="1"/>
    <col min="2" max="2" width="15.1640625" style="15" customWidth="1"/>
    <col min="3" max="3" width="14.33203125" style="15" customWidth="1"/>
    <col min="4" max="4" width="9.6640625" style="15" customWidth="1"/>
    <col min="5" max="6" width="9" style="15"/>
    <col min="7" max="8" width="13.6640625" style="15" bestFit="1" customWidth="1"/>
    <col min="9" max="9" width="14.33203125" style="15" bestFit="1" customWidth="1"/>
    <col min="10" max="10" width="15.1640625" style="15" bestFit="1" customWidth="1"/>
    <col min="11" max="11" width="14.83203125" style="15" bestFit="1" customWidth="1"/>
    <col min="12" max="12" width="33" style="15" customWidth="1"/>
    <col min="13" max="16384" width="9" style="15"/>
  </cols>
  <sheetData>
    <row r="4" spans="2:11">
      <c r="B4" s="17"/>
    </row>
    <row r="5" spans="2:11">
      <c r="B5" s="15" t="s">
        <v>17</v>
      </c>
      <c r="C5" s="15" t="s">
        <v>18</v>
      </c>
      <c r="E5" s="15" t="s">
        <v>19</v>
      </c>
    </row>
    <row r="6" spans="2:11" ht="19.5" customHeight="1">
      <c r="B6" s="16" t="s">
        <v>57</v>
      </c>
      <c r="C6" s="16" t="s">
        <v>56</v>
      </c>
      <c r="E6" s="18" t="s">
        <v>58</v>
      </c>
    </row>
    <row r="8" spans="2:11">
      <c r="G8" s="15" t="s">
        <v>32</v>
      </c>
      <c r="H8" s="15" t="s">
        <v>33</v>
      </c>
      <c r="I8" s="15" t="s">
        <v>31</v>
      </c>
      <c r="J8" s="15" t="s">
        <v>22</v>
      </c>
      <c r="K8" s="15" t="s">
        <v>40</v>
      </c>
    </row>
    <row r="9" spans="2:11">
      <c r="B9" s="21" t="s">
        <v>23</v>
      </c>
      <c r="C9" s="22">
        <f>PeriodTwoIn-PeriodOneOut</f>
        <v>2.5694444444444464E-2</v>
      </c>
    </row>
    <row r="10" spans="2:11">
      <c r="G10" s="48">
        <v>0.375</v>
      </c>
      <c r="H10" s="19">
        <v>9</v>
      </c>
      <c r="I10" s="28">
        <v>7.4</v>
      </c>
      <c r="J10" s="19">
        <f>TotalTimeDecimal-7.4</f>
        <v>1.5999999999999996</v>
      </c>
      <c r="K10" s="37">
        <f>J10*60</f>
        <v>95.999999999999972</v>
      </c>
    </row>
    <row r="12" spans="2:11">
      <c r="H12" s="17"/>
    </row>
    <row r="13" spans="2:11">
      <c r="B13" s="15" t="s">
        <v>17</v>
      </c>
      <c r="C13" s="15" t="s">
        <v>18</v>
      </c>
      <c r="E13" s="15" t="s">
        <v>20</v>
      </c>
    </row>
    <row r="14" spans="2:11" ht="21" customHeight="1">
      <c r="B14" s="16" t="s">
        <v>53</v>
      </c>
      <c r="C14" s="16" t="s">
        <v>54</v>
      </c>
      <c r="E14" s="18" t="s">
        <v>55</v>
      </c>
    </row>
    <row r="16" spans="2:11">
      <c r="B16" s="21"/>
      <c r="C16" s="22"/>
    </row>
    <row r="25" spans="12:13" ht="17">
      <c r="L25" s="8">
        <v>43825</v>
      </c>
      <c r="M25" s="9" t="s">
        <v>1</v>
      </c>
    </row>
    <row r="26" spans="12:13" ht="17">
      <c r="L26" s="8">
        <v>43831</v>
      </c>
      <c r="M26" s="9" t="s">
        <v>1</v>
      </c>
    </row>
    <row r="27" spans="12:13" ht="17">
      <c r="L27" s="8">
        <v>43832</v>
      </c>
      <c r="M27" s="9" t="s">
        <v>1</v>
      </c>
    </row>
    <row r="28" spans="12:13" ht="17">
      <c r="L28" s="8">
        <v>43837</v>
      </c>
      <c r="M28" s="9" t="s">
        <v>1</v>
      </c>
    </row>
    <row r="29" spans="12:13" ht="17">
      <c r="L29" s="8">
        <v>43838</v>
      </c>
      <c r="M29" s="9" t="s">
        <v>1</v>
      </c>
    </row>
    <row r="30" spans="12:13" ht="17">
      <c r="L30" s="8">
        <v>43839</v>
      </c>
      <c r="M30" s="9" t="s">
        <v>1</v>
      </c>
    </row>
    <row r="31" spans="12:13">
      <c r="L31" s="12"/>
      <c r="M31" s="13"/>
    </row>
    <row r="32" spans="12:13">
      <c r="L32" s="12"/>
      <c r="M32" s="13"/>
    </row>
    <row r="33" spans="12:13">
      <c r="L33" s="12"/>
      <c r="M33" s="13"/>
    </row>
    <row r="34" spans="12:13">
      <c r="L34" s="12"/>
      <c r="M34" s="13"/>
    </row>
    <row r="35" spans="12:13">
      <c r="L35" s="8"/>
      <c r="M35" s="9"/>
    </row>
    <row r="36" spans="12:13">
      <c r="L36" s="12"/>
      <c r="M36" s="13"/>
    </row>
    <row r="37" spans="12:13">
      <c r="L37" s="12"/>
      <c r="M37" s="13"/>
    </row>
    <row r="38" spans="12:13">
      <c r="L38" s="12"/>
      <c r="M38" s="13"/>
    </row>
    <row r="39" spans="12:13">
      <c r="L39" s="12"/>
      <c r="M39" s="13"/>
    </row>
  </sheetData>
  <sortState xmlns:xlrd2="http://schemas.microsoft.com/office/spreadsheetml/2017/richdata2" ref="L25:M39">
    <sortCondition ref="L25:L39"/>
  </sortState>
  <dataConsolidate link="1"/>
  <dataValidations count="1">
    <dataValidation type="list" allowBlank="1" showInputMessage="1" showErrorMessage="1" sqref="M25 M30:M32 M37:M39" xr:uid="{00000000-0002-0000-0100-000000000000}">
      <formula1>DayTypeOptions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K41"/>
  <sheetViews>
    <sheetView zoomScaleNormal="85" workbookViewId="0">
      <selection activeCell="B30" sqref="B30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9.6640625" style="4" bestFit="1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0" width="9" style="4"/>
    <col min="11" max="11" width="16.1640625" style="4" bestFit="1" customWidth="1"/>
    <col min="12" max="14" width="9" style="4"/>
    <col min="15" max="15" width="9" style="4" customWidth="1"/>
    <col min="16" max="16384" width="9" style="4"/>
  </cols>
  <sheetData>
    <row r="1" spans="2:11">
      <c r="F1" s="23"/>
      <c r="G1" s="23" t="s">
        <v>28</v>
      </c>
      <c r="H1" s="23" t="s">
        <v>29</v>
      </c>
    </row>
    <row r="2" spans="2:11">
      <c r="E2" s="33"/>
      <c r="F2" s="23" t="s">
        <v>27</v>
      </c>
      <c r="G2" s="31">
        <f>H2/7.4</f>
        <v>27.255405405405405</v>
      </c>
      <c r="H2" s="4">
        <v>201.69</v>
      </c>
    </row>
    <row r="3" spans="2:11">
      <c r="E3" s="33"/>
      <c r="F3" s="23" t="s">
        <v>26</v>
      </c>
      <c r="G3" s="31">
        <f>H3/7.4</f>
        <v>0</v>
      </c>
    </row>
    <row r="4" spans="2:11">
      <c r="B4" s="23"/>
      <c r="C4" s="23"/>
      <c r="D4" s="23"/>
      <c r="E4" s="33"/>
      <c r="F4" s="23"/>
      <c r="G4" s="31"/>
    </row>
    <row r="5" spans="2:11">
      <c r="D5" s="23"/>
      <c r="E5" s="33"/>
      <c r="F5" s="23" t="s">
        <v>30</v>
      </c>
      <c r="G5" s="31">
        <f>SUM(G2:G4)</f>
        <v>27.255405405405405</v>
      </c>
      <c r="H5" s="4">
        <f>G5*7.4</f>
        <v>201.69</v>
      </c>
    </row>
    <row r="6" spans="2:11">
      <c r="D6" s="23"/>
      <c r="E6" s="33"/>
      <c r="G6" s="32"/>
    </row>
    <row r="7" spans="2:11">
      <c r="D7" s="23"/>
      <c r="E7" s="33"/>
    </row>
    <row r="8" spans="2:11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11">
      <c r="D9" s="23"/>
      <c r="E9" s="33"/>
    </row>
    <row r="10" spans="2:11" ht="16">
      <c r="B10" s="26"/>
      <c r="C10" s="6"/>
      <c r="D10" s="6"/>
      <c r="E10" s="24"/>
      <c r="F10" s="6"/>
    </row>
    <row r="11" spans="2:11" ht="16">
      <c r="B11" s="27"/>
      <c r="C11" s="6"/>
      <c r="D11" s="6"/>
      <c r="E11" s="43">
        <f>G5</f>
        <v>27.255405405405405</v>
      </c>
      <c r="F11" s="41">
        <f>E11*7.4</f>
        <v>201.69</v>
      </c>
      <c r="K11" s="30">
        <v>43208</v>
      </c>
    </row>
    <row r="12" spans="2:11" ht="16">
      <c r="B12" s="30">
        <v>42830</v>
      </c>
      <c r="C12" s="6"/>
      <c r="D12" s="6">
        <v>1</v>
      </c>
      <c r="E12" s="42">
        <f t="shared" ref="E12" si="0">E11-D12</f>
        <v>26.255405405405405</v>
      </c>
      <c r="F12" s="42">
        <f>IF(E12=E11,"-", E12*7.4)</f>
        <v>194.29</v>
      </c>
      <c r="H12" s="29"/>
      <c r="K12" s="30">
        <v>43209</v>
      </c>
    </row>
    <row r="13" spans="2:11" ht="16">
      <c r="B13" s="30">
        <v>42853</v>
      </c>
      <c r="C13" s="6"/>
      <c r="D13" s="6">
        <v>1</v>
      </c>
      <c r="E13" s="42">
        <f t="shared" ref="E13:E14" si="1">E12-D13</f>
        <v>25.255405405405405</v>
      </c>
      <c r="F13" s="42">
        <f t="shared" ref="F13:F14" si="2">IF(E13=E12,"-", E13*7.4)</f>
        <v>186.89000000000001</v>
      </c>
      <c r="K13" s="49">
        <v>43222</v>
      </c>
    </row>
    <row r="14" spans="2:11" ht="16">
      <c r="B14" s="34">
        <v>42858</v>
      </c>
      <c r="C14" s="6"/>
      <c r="D14" s="6">
        <v>1</v>
      </c>
      <c r="E14" s="42">
        <f t="shared" si="1"/>
        <v>24.255405405405405</v>
      </c>
      <c r="F14" s="42">
        <f t="shared" si="2"/>
        <v>179.49</v>
      </c>
      <c r="K14" s="49">
        <v>43223</v>
      </c>
    </row>
    <row r="15" spans="2:11" ht="16">
      <c r="B15" s="39">
        <v>42871</v>
      </c>
      <c r="C15" s="6"/>
      <c r="D15" s="6">
        <v>1</v>
      </c>
      <c r="E15" s="42">
        <f t="shared" ref="E15:E19" si="3">E14-D15</f>
        <v>23.255405405405405</v>
      </c>
      <c r="F15" s="42">
        <f t="shared" ref="F15:F19" si="4">IF(E15=E14,"-", E15*7.4)</f>
        <v>172.09</v>
      </c>
      <c r="K15" s="34">
        <v>43257</v>
      </c>
    </row>
    <row r="16" spans="2:11" ht="16">
      <c r="B16" s="39">
        <v>42872</v>
      </c>
      <c r="C16" s="6"/>
      <c r="D16" s="6">
        <v>1</v>
      </c>
      <c r="E16" s="42">
        <f t="shared" si="3"/>
        <v>22.255405405405405</v>
      </c>
      <c r="F16" s="42">
        <f t="shared" si="4"/>
        <v>164.69</v>
      </c>
      <c r="K16" s="34">
        <v>43258</v>
      </c>
    </row>
    <row r="17" spans="2:11" ht="16">
      <c r="B17" s="39">
        <v>42873</v>
      </c>
      <c r="C17" s="6"/>
      <c r="D17" s="6">
        <v>1</v>
      </c>
      <c r="E17" s="42">
        <f t="shared" si="3"/>
        <v>21.255405405405405</v>
      </c>
      <c r="F17" s="42">
        <f t="shared" si="4"/>
        <v>157.29</v>
      </c>
      <c r="K17" s="34">
        <v>43263</v>
      </c>
    </row>
    <row r="18" spans="2:11" ht="16">
      <c r="B18" s="39">
        <v>42874</v>
      </c>
      <c r="C18" s="6"/>
      <c r="D18" s="6">
        <v>1</v>
      </c>
      <c r="E18" s="42">
        <f t="shared" si="3"/>
        <v>20.255405405405405</v>
      </c>
      <c r="F18" s="42">
        <f t="shared" si="4"/>
        <v>149.89000000000001</v>
      </c>
      <c r="K18" s="34">
        <v>43264</v>
      </c>
    </row>
    <row r="19" spans="2:11" ht="16">
      <c r="B19" s="34">
        <v>42878</v>
      </c>
      <c r="C19" s="6"/>
      <c r="D19" s="6">
        <v>1</v>
      </c>
      <c r="E19" s="42">
        <f t="shared" si="3"/>
        <v>19.255405405405405</v>
      </c>
      <c r="F19" s="42">
        <f t="shared" si="4"/>
        <v>142.49</v>
      </c>
      <c r="K19" s="34">
        <v>43265</v>
      </c>
    </row>
    <row r="20" spans="2:11" ht="16">
      <c r="B20" s="35">
        <v>42888</v>
      </c>
      <c r="C20" s="6"/>
      <c r="D20" s="6">
        <v>1</v>
      </c>
      <c r="E20" s="42">
        <f t="shared" ref="E20" si="5">E19-D20</f>
        <v>18.255405405405405</v>
      </c>
      <c r="F20" s="42">
        <f t="shared" ref="F20" si="6">IF(E20=E19,"-", E20*7.4)</f>
        <v>135.09</v>
      </c>
    </row>
    <row r="21" spans="2:11" ht="16">
      <c r="B21" s="40">
        <v>42930</v>
      </c>
      <c r="C21" s="25"/>
      <c r="D21" s="6">
        <v>1</v>
      </c>
      <c r="E21" s="42">
        <f t="shared" ref="E21:E27" si="7">E20-D21</f>
        <v>17.255405405405405</v>
      </c>
      <c r="F21" s="42">
        <f t="shared" ref="F21:F27" si="8">IF(E21=E20,"-", E21*7.4)</f>
        <v>127.69</v>
      </c>
    </row>
    <row r="22" spans="2:11" ht="16">
      <c r="B22" s="40">
        <v>42934</v>
      </c>
      <c r="C22" s="25"/>
      <c r="D22" s="6">
        <v>1</v>
      </c>
      <c r="E22" s="42">
        <f t="shared" si="7"/>
        <v>16.255405405405405</v>
      </c>
      <c r="F22" s="42">
        <f t="shared" si="8"/>
        <v>120.29</v>
      </c>
    </row>
    <row r="23" spans="2:11" ht="16">
      <c r="B23" s="40">
        <v>42935</v>
      </c>
      <c r="C23" s="25"/>
      <c r="D23" s="6">
        <v>1</v>
      </c>
      <c r="E23" s="42">
        <f t="shared" si="7"/>
        <v>15.255405405405405</v>
      </c>
      <c r="F23" s="42">
        <f t="shared" si="8"/>
        <v>112.89</v>
      </c>
    </row>
    <row r="24" spans="2:11" ht="16">
      <c r="B24" s="40">
        <v>42936</v>
      </c>
      <c r="C24" s="25"/>
      <c r="D24" s="6">
        <v>1</v>
      </c>
      <c r="E24" s="42">
        <f t="shared" si="7"/>
        <v>14.255405405405405</v>
      </c>
      <c r="F24" s="42">
        <f t="shared" si="8"/>
        <v>105.49</v>
      </c>
    </row>
    <row r="25" spans="2:11" ht="16">
      <c r="B25" s="40">
        <v>42937</v>
      </c>
      <c r="C25" s="25"/>
      <c r="D25" s="6">
        <v>1</v>
      </c>
      <c r="E25" s="42">
        <f t="shared" si="7"/>
        <v>13.255405405405405</v>
      </c>
      <c r="F25" s="42">
        <f t="shared" si="8"/>
        <v>98.09</v>
      </c>
    </row>
    <row r="26" spans="2:11" ht="16">
      <c r="B26" s="36">
        <v>42971</v>
      </c>
      <c r="C26" s="25"/>
      <c r="D26" s="6">
        <v>1</v>
      </c>
      <c r="E26" s="42">
        <f t="shared" si="7"/>
        <v>12.255405405405405</v>
      </c>
      <c r="F26" s="42">
        <f t="shared" si="8"/>
        <v>90.69</v>
      </c>
    </row>
    <row r="27" spans="2:11" ht="16">
      <c r="B27" s="38">
        <v>43027</v>
      </c>
      <c r="C27" s="6"/>
      <c r="D27" s="6">
        <v>1</v>
      </c>
      <c r="E27" s="42">
        <f t="shared" si="7"/>
        <v>11.255405405405405</v>
      </c>
      <c r="F27" s="42">
        <f t="shared" si="8"/>
        <v>83.29</v>
      </c>
    </row>
    <row r="28" spans="2:11" ht="16">
      <c r="B28" s="44">
        <v>43090</v>
      </c>
      <c r="D28" s="6">
        <v>1</v>
      </c>
      <c r="E28" s="42">
        <f t="shared" ref="E28:E31" si="9">E27-D28</f>
        <v>10.255405405405405</v>
      </c>
      <c r="F28" s="42">
        <f t="shared" ref="F28:F31" si="10">IF(E28=E27,"-", E28*7.4)</f>
        <v>75.89</v>
      </c>
    </row>
    <row r="29" spans="2:11" ht="16">
      <c r="B29" s="44">
        <v>43097</v>
      </c>
      <c r="D29" s="6">
        <v>1</v>
      </c>
      <c r="E29" s="42">
        <f t="shared" si="9"/>
        <v>9.2554054054054049</v>
      </c>
      <c r="F29" s="42">
        <f t="shared" si="10"/>
        <v>68.489999999999995</v>
      </c>
    </row>
    <row r="30" spans="2:11" ht="16">
      <c r="B30" s="45">
        <v>43103</v>
      </c>
      <c r="D30" s="6">
        <v>1</v>
      </c>
      <c r="E30" s="42">
        <f t="shared" si="9"/>
        <v>8.2554054054054049</v>
      </c>
      <c r="F30" s="42">
        <f t="shared" si="10"/>
        <v>61.089999999999996</v>
      </c>
    </row>
    <row r="31" spans="2:11" ht="16">
      <c r="B31" s="45">
        <v>43104</v>
      </c>
      <c r="D31" s="6">
        <v>1</v>
      </c>
      <c r="E31" s="42">
        <f t="shared" si="9"/>
        <v>7.2554054054054049</v>
      </c>
      <c r="F31" s="42">
        <f t="shared" si="10"/>
        <v>53.69</v>
      </c>
    </row>
    <row r="32" spans="2:11">
      <c r="E32" s="32"/>
    </row>
    <row r="33" spans="5:5">
      <c r="E33" s="32"/>
    </row>
    <row r="34" spans="5:5">
      <c r="E34" s="32"/>
    </row>
    <row r="35" spans="5:5">
      <c r="E35" s="32"/>
    </row>
    <row r="36" spans="5:5">
      <c r="E36" s="32"/>
    </row>
    <row r="37" spans="5:5">
      <c r="E37" s="32"/>
    </row>
    <row r="38" spans="5:5">
      <c r="E38" s="32"/>
    </row>
    <row r="39" spans="5:5">
      <c r="E39" s="32"/>
    </row>
    <row r="40" spans="5:5">
      <c r="E40" s="32"/>
    </row>
    <row r="41" spans="5:5">
      <c r="E41" s="32"/>
    </row>
  </sheetData>
  <dataValidations count="1">
    <dataValidation type="list" allowBlank="1" showInputMessage="1" showErrorMessage="1" sqref="C24:C26" xr:uid="{00000000-0002-0000-0200-000000000000}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09"/>
  <sheetViews>
    <sheetView tabSelected="1" topLeftCell="A848" zoomScale="75" zoomScaleNormal="55" workbookViewId="0">
      <selection activeCell="D893" sqref="D893"/>
    </sheetView>
  </sheetViews>
  <sheetFormatPr baseColWidth="10" defaultColWidth="32.6640625" defaultRowHeight="16"/>
  <cols>
    <col min="1" max="1" width="18.83203125" style="2" bestFit="1" customWidth="1"/>
    <col min="2" max="2" width="46.6640625" style="3" customWidth="1"/>
    <col min="3" max="3" width="69.6640625" style="1" bestFit="1" customWidth="1"/>
    <col min="4" max="4" width="38.6640625" style="3" customWidth="1"/>
    <col min="5" max="5" width="21.33203125" customWidth="1"/>
    <col min="6" max="6" width="8.33203125" style="5" bestFit="1" customWidth="1"/>
    <col min="7" max="7" width="15" style="5" bestFit="1" customWidth="1"/>
    <col min="8" max="8" width="6.1640625" style="5" bestFit="1" customWidth="1"/>
    <col min="9" max="9" width="46.6640625" bestFit="1" customWidth="1"/>
  </cols>
  <sheetData>
    <row r="1" spans="1:7">
      <c r="A1" s="12">
        <v>43099</v>
      </c>
      <c r="B1" s="13"/>
      <c r="C1" s="14"/>
      <c r="E1" s="12">
        <v>43099</v>
      </c>
      <c r="F1" s="11"/>
      <c r="G1" s="11">
        <v>-7.6</v>
      </c>
    </row>
    <row r="2" spans="1:7">
      <c r="A2" s="12">
        <v>43100</v>
      </c>
      <c r="B2" s="13"/>
      <c r="C2" s="14"/>
      <c r="E2" s="12">
        <v>43100</v>
      </c>
      <c r="F2" s="11"/>
      <c r="G2" s="11">
        <f t="shared" ref="G2:G17" si="0">G1+F2</f>
        <v>-7.6</v>
      </c>
    </row>
    <row r="3" spans="1:7">
      <c r="A3" s="12">
        <v>43101</v>
      </c>
      <c r="B3" s="13"/>
      <c r="C3" s="14"/>
      <c r="E3" s="12">
        <v>43101</v>
      </c>
      <c r="F3" s="11"/>
      <c r="G3" s="11">
        <f t="shared" si="0"/>
        <v>-7.6</v>
      </c>
    </row>
    <row r="4" spans="1:7">
      <c r="A4" s="8">
        <v>43102</v>
      </c>
      <c r="B4" s="9"/>
      <c r="C4" s="10" t="s">
        <v>41</v>
      </c>
      <c r="E4" s="8">
        <v>43102</v>
      </c>
      <c r="F4" s="11">
        <v>-2.96</v>
      </c>
      <c r="G4" s="11">
        <f t="shared" si="0"/>
        <v>-10.559999999999999</v>
      </c>
    </row>
    <row r="5" spans="1:7">
      <c r="A5" s="8">
        <v>43103</v>
      </c>
      <c r="B5" s="9"/>
      <c r="C5" s="10"/>
      <c r="E5" s="8">
        <v>43103</v>
      </c>
      <c r="F5" s="11"/>
      <c r="G5" s="11">
        <f t="shared" si="0"/>
        <v>-10.559999999999999</v>
      </c>
    </row>
    <row r="6" spans="1:7">
      <c r="A6" s="8">
        <v>43104</v>
      </c>
      <c r="B6" s="9"/>
      <c r="C6" s="10"/>
      <c r="E6" s="8">
        <v>43104</v>
      </c>
      <c r="F6" s="11"/>
      <c r="G6" s="11">
        <f t="shared" si="0"/>
        <v>-10.559999999999999</v>
      </c>
    </row>
    <row r="7" spans="1:7">
      <c r="A7" s="12">
        <v>43105</v>
      </c>
      <c r="B7" s="13"/>
      <c r="C7" s="14"/>
      <c r="E7" s="12">
        <v>43105</v>
      </c>
      <c r="F7" s="11"/>
      <c r="G7" s="11">
        <f t="shared" si="0"/>
        <v>-10.559999999999999</v>
      </c>
    </row>
    <row r="8" spans="1:7">
      <c r="A8" s="12">
        <v>43106</v>
      </c>
      <c r="B8" s="13"/>
      <c r="C8" s="14"/>
      <c r="E8" s="12">
        <v>43106</v>
      </c>
      <c r="F8" s="11"/>
      <c r="G8" s="11">
        <f t="shared" si="0"/>
        <v>-10.559999999999999</v>
      </c>
    </row>
    <row r="9" spans="1:7">
      <c r="A9" s="12">
        <v>43107</v>
      </c>
      <c r="B9" s="13"/>
      <c r="C9" s="14"/>
      <c r="E9" s="12">
        <v>43107</v>
      </c>
      <c r="F9" s="11"/>
      <c r="G9" s="11">
        <f t="shared" si="0"/>
        <v>-10.559999999999999</v>
      </c>
    </row>
    <row r="10" spans="1:7">
      <c r="A10" s="12">
        <v>43108</v>
      </c>
      <c r="B10" s="13"/>
      <c r="C10" s="14"/>
      <c r="E10" s="12">
        <v>43108</v>
      </c>
      <c r="F10" s="11"/>
      <c r="G10" s="11">
        <f t="shared" si="0"/>
        <v>-10.559999999999999</v>
      </c>
    </row>
    <row r="11" spans="1:7">
      <c r="A11" s="8">
        <v>43109</v>
      </c>
      <c r="B11" s="9"/>
      <c r="C11" s="10"/>
      <c r="E11" s="8">
        <v>43109</v>
      </c>
      <c r="F11" s="11"/>
      <c r="G11" s="11">
        <f t="shared" si="0"/>
        <v>-10.559999999999999</v>
      </c>
    </row>
    <row r="12" spans="1:7">
      <c r="A12" s="8">
        <v>43110</v>
      </c>
      <c r="B12" s="9"/>
      <c r="C12" s="10"/>
      <c r="E12" s="8">
        <v>43110</v>
      </c>
      <c r="F12" s="11"/>
      <c r="G12" s="11">
        <f t="shared" si="0"/>
        <v>-10.559999999999999</v>
      </c>
    </row>
    <row r="13" spans="1:7">
      <c r="A13" s="8">
        <v>43111</v>
      </c>
      <c r="B13" s="9"/>
      <c r="C13" s="10"/>
      <c r="E13" s="8">
        <v>43111</v>
      </c>
      <c r="F13" s="11"/>
      <c r="G13" s="11">
        <f t="shared" si="0"/>
        <v>-10.559999999999999</v>
      </c>
    </row>
    <row r="14" spans="1:7">
      <c r="A14" s="12">
        <v>43112</v>
      </c>
      <c r="B14" s="13"/>
      <c r="C14" s="14"/>
      <c r="E14" s="12">
        <v>43112</v>
      </c>
      <c r="F14" s="11"/>
      <c r="G14" s="11">
        <f t="shared" si="0"/>
        <v>-10.559999999999999</v>
      </c>
    </row>
    <row r="15" spans="1:7">
      <c r="A15" s="12">
        <v>43113</v>
      </c>
      <c r="B15" s="13"/>
      <c r="C15" s="14"/>
      <c r="E15" s="12">
        <v>43113</v>
      </c>
      <c r="F15" s="11"/>
      <c r="G15" s="11">
        <f t="shared" si="0"/>
        <v>-10.559999999999999</v>
      </c>
    </row>
    <row r="16" spans="1:7">
      <c r="A16" s="12">
        <v>43114</v>
      </c>
      <c r="B16" s="13"/>
      <c r="C16" s="14"/>
      <c r="E16" s="12">
        <v>43114</v>
      </c>
      <c r="F16" s="11"/>
      <c r="G16" s="11">
        <f t="shared" si="0"/>
        <v>-10.559999999999999</v>
      </c>
    </row>
    <row r="17" spans="1:7">
      <c r="A17" s="12">
        <v>43115</v>
      </c>
      <c r="B17" s="13"/>
      <c r="C17" s="14"/>
      <c r="E17" s="12">
        <v>43115</v>
      </c>
      <c r="F17" s="11"/>
      <c r="G17" s="11">
        <f t="shared" si="0"/>
        <v>-10.559999999999999</v>
      </c>
    </row>
    <row r="18" spans="1:7">
      <c r="A18" s="8">
        <v>43116</v>
      </c>
      <c r="B18" s="9"/>
      <c r="C18" s="10"/>
      <c r="E18" s="8">
        <v>43116</v>
      </c>
      <c r="F18" s="11"/>
      <c r="G18" s="11">
        <f t="shared" ref="G18:G81" si="1">G17+F18</f>
        <v>-10.559999999999999</v>
      </c>
    </row>
    <row r="19" spans="1:7">
      <c r="A19" s="8">
        <v>43117</v>
      </c>
      <c r="B19" s="9"/>
      <c r="C19" s="10"/>
      <c r="E19" s="8">
        <v>43117</v>
      </c>
      <c r="F19" s="11"/>
      <c r="G19" s="11">
        <f t="shared" si="1"/>
        <v>-10.559999999999999</v>
      </c>
    </row>
    <row r="20" spans="1:7">
      <c r="A20" s="8">
        <v>43118</v>
      </c>
      <c r="B20" s="9"/>
      <c r="C20" s="10"/>
      <c r="E20" s="8">
        <v>43118</v>
      </c>
      <c r="F20" s="11"/>
      <c r="G20" s="11">
        <f t="shared" si="1"/>
        <v>-10.559999999999999</v>
      </c>
    </row>
    <row r="21" spans="1:7">
      <c r="A21" s="12">
        <v>43119</v>
      </c>
      <c r="B21" s="13"/>
      <c r="C21" s="14"/>
      <c r="E21" s="12">
        <v>43119</v>
      </c>
      <c r="F21" s="11"/>
      <c r="G21" s="11">
        <f t="shared" si="1"/>
        <v>-10.559999999999999</v>
      </c>
    </row>
    <row r="22" spans="1:7">
      <c r="A22" s="12">
        <v>43120</v>
      </c>
      <c r="B22" s="13"/>
      <c r="C22" s="14"/>
      <c r="E22" s="12">
        <v>43120</v>
      </c>
      <c r="F22" s="11"/>
      <c r="G22" s="11">
        <f t="shared" si="1"/>
        <v>-10.559999999999999</v>
      </c>
    </row>
    <row r="23" spans="1:7">
      <c r="A23" s="12">
        <v>43121</v>
      </c>
      <c r="B23" s="13"/>
      <c r="C23" s="14"/>
      <c r="E23" s="12">
        <v>43121</v>
      </c>
      <c r="F23" s="11"/>
      <c r="G23" s="11">
        <f t="shared" si="1"/>
        <v>-10.559999999999999</v>
      </c>
    </row>
    <row r="24" spans="1:7">
      <c r="A24" s="12">
        <v>43122</v>
      </c>
      <c r="B24" s="13"/>
      <c r="C24" s="14"/>
      <c r="E24" s="12">
        <v>43122</v>
      </c>
      <c r="F24" s="11"/>
      <c r="G24" s="11">
        <f t="shared" si="1"/>
        <v>-10.559999999999999</v>
      </c>
    </row>
    <row r="25" spans="1:7">
      <c r="A25" s="8">
        <v>43123</v>
      </c>
      <c r="B25" s="9"/>
      <c r="C25" s="10"/>
      <c r="E25" s="8">
        <v>43123</v>
      </c>
      <c r="F25" s="11"/>
      <c r="G25" s="11">
        <f t="shared" si="1"/>
        <v>-10.559999999999999</v>
      </c>
    </row>
    <row r="26" spans="1:7">
      <c r="A26" s="8">
        <v>43124</v>
      </c>
      <c r="B26" s="9"/>
      <c r="C26" s="10"/>
      <c r="E26" s="8">
        <v>43124</v>
      </c>
      <c r="F26" s="11"/>
      <c r="G26" s="11">
        <f t="shared" si="1"/>
        <v>-10.559999999999999</v>
      </c>
    </row>
    <row r="27" spans="1:7">
      <c r="A27" s="8">
        <v>43125</v>
      </c>
      <c r="B27" s="9"/>
      <c r="C27" s="10"/>
      <c r="E27" s="8">
        <v>43125</v>
      </c>
      <c r="F27" s="11"/>
      <c r="G27" s="11">
        <f t="shared" si="1"/>
        <v>-10.559999999999999</v>
      </c>
    </row>
    <row r="28" spans="1:7">
      <c r="A28" s="12">
        <v>43126</v>
      </c>
      <c r="B28" s="13"/>
      <c r="C28" s="14"/>
      <c r="E28" s="12">
        <v>43126</v>
      </c>
      <c r="F28" s="11"/>
      <c r="G28" s="11">
        <f t="shared" si="1"/>
        <v>-10.559999999999999</v>
      </c>
    </row>
    <row r="29" spans="1:7">
      <c r="A29" s="12">
        <v>43127</v>
      </c>
      <c r="B29" s="13"/>
      <c r="C29" s="14"/>
      <c r="E29" s="12">
        <v>43127</v>
      </c>
      <c r="F29" s="11"/>
      <c r="G29" s="11">
        <f t="shared" si="1"/>
        <v>-10.559999999999999</v>
      </c>
    </row>
    <row r="30" spans="1:7">
      <c r="A30" s="12">
        <v>43128</v>
      </c>
      <c r="B30" s="13"/>
      <c r="C30" s="14"/>
      <c r="E30" s="12">
        <v>43128</v>
      </c>
      <c r="F30" s="11"/>
      <c r="G30" s="11">
        <f t="shared" si="1"/>
        <v>-10.559999999999999</v>
      </c>
    </row>
    <row r="31" spans="1:7">
      <c r="A31" s="12">
        <v>43129</v>
      </c>
      <c r="B31" s="13"/>
      <c r="C31" s="14"/>
      <c r="E31" s="12">
        <v>43129</v>
      </c>
      <c r="F31" s="11"/>
      <c r="G31" s="11">
        <f t="shared" si="1"/>
        <v>-10.559999999999999</v>
      </c>
    </row>
    <row r="32" spans="1:7">
      <c r="A32" s="8">
        <v>43130</v>
      </c>
      <c r="B32" s="9"/>
      <c r="C32" s="10"/>
      <c r="E32" s="8">
        <v>43130</v>
      </c>
      <c r="F32" s="11"/>
      <c r="G32" s="11">
        <f t="shared" si="1"/>
        <v>-10.559999999999999</v>
      </c>
    </row>
    <row r="33" spans="1:7">
      <c r="A33" s="8">
        <v>43131</v>
      </c>
      <c r="B33" s="9"/>
      <c r="C33" s="10"/>
      <c r="E33" s="8">
        <v>43131</v>
      </c>
      <c r="F33" s="11"/>
      <c r="G33" s="11">
        <f t="shared" si="1"/>
        <v>-10.559999999999999</v>
      </c>
    </row>
    <row r="34" spans="1:7">
      <c r="A34" s="8">
        <v>43132</v>
      </c>
      <c r="B34" s="9"/>
      <c r="C34" s="10"/>
      <c r="E34" s="8">
        <v>43132</v>
      </c>
      <c r="F34" s="11"/>
      <c r="G34" s="11">
        <f t="shared" si="1"/>
        <v>-10.559999999999999</v>
      </c>
    </row>
    <row r="35" spans="1:7">
      <c r="A35" s="12">
        <v>43133</v>
      </c>
      <c r="B35" s="13"/>
      <c r="C35" s="14"/>
      <c r="E35" s="12">
        <v>43133</v>
      </c>
      <c r="F35" s="11"/>
      <c r="G35" s="11">
        <f t="shared" si="1"/>
        <v>-10.559999999999999</v>
      </c>
    </row>
    <row r="36" spans="1:7">
      <c r="A36" s="12">
        <v>43134</v>
      </c>
      <c r="B36" s="13"/>
      <c r="C36" s="14"/>
      <c r="E36" s="12">
        <v>43134</v>
      </c>
      <c r="F36" s="11"/>
      <c r="G36" s="11">
        <f t="shared" si="1"/>
        <v>-10.559999999999999</v>
      </c>
    </row>
    <row r="37" spans="1:7">
      <c r="A37" s="12">
        <v>43135</v>
      </c>
      <c r="B37" s="13"/>
      <c r="C37" s="14"/>
      <c r="E37" s="12">
        <v>43135</v>
      </c>
      <c r="F37" s="11"/>
      <c r="G37" s="11">
        <f t="shared" si="1"/>
        <v>-10.559999999999999</v>
      </c>
    </row>
    <row r="38" spans="1:7">
      <c r="A38" s="12">
        <v>43136</v>
      </c>
      <c r="B38" s="13"/>
      <c r="C38" s="14"/>
      <c r="E38" s="12">
        <v>43136</v>
      </c>
      <c r="F38" s="11"/>
      <c r="G38" s="11">
        <f t="shared" si="1"/>
        <v>-10.559999999999999</v>
      </c>
    </row>
    <row r="39" spans="1:7">
      <c r="A39" s="8">
        <v>43137</v>
      </c>
      <c r="B39" s="9"/>
      <c r="C39" s="10"/>
      <c r="E39" s="8">
        <v>43137</v>
      </c>
      <c r="F39" s="11"/>
      <c r="G39" s="11">
        <f t="shared" si="1"/>
        <v>-10.559999999999999</v>
      </c>
    </row>
    <row r="40" spans="1:7">
      <c r="A40" s="8">
        <v>43138</v>
      </c>
      <c r="B40" s="9"/>
      <c r="C40" s="10"/>
      <c r="E40" s="8">
        <v>43138</v>
      </c>
      <c r="F40" s="11"/>
      <c r="G40" s="11">
        <f t="shared" si="1"/>
        <v>-10.559999999999999</v>
      </c>
    </row>
    <row r="41" spans="1:7">
      <c r="A41" s="8">
        <v>43139</v>
      </c>
      <c r="B41" s="9"/>
      <c r="C41" s="10"/>
      <c r="E41" s="8">
        <v>43139</v>
      </c>
      <c r="F41" s="11"/>
      <c r="G41" s="11">
        <f t="shared" si="1"/>
        <v>-10.559999999999999</v>
      </c>
    </row>
    <row r="42" spans="1:7">
      <c r="A42" s="12">
        <v>43140</v>
      </c>
      <c r="B42" s="13"/>
      <c r="C42" s="14"/>
      <c r="E42" s="12">
        <v>43140</v>
      </c>
      <c r="F42" s="11"/>
      <c r="G42" s="11">
        <f t="shared" si="1"/>
        <v>-10.559999999999999</v>
      </c>
    </row>
    <row r="43" spans="1:7">
      <c r="A43" s="12">
        <v>43141</v>
      </c>
      <c r="B43" s="13"/>
      <c r="C43" s="14"/>
      <c r="E43" s="12">
        <v>43141</v>
      </c>
      <c r="F43" s="11"/>
      <c r="G43" s="11">
        <f t="shared" si="1"/>
        <v>-10.559999999999999</v>
      </c>
    </row>
    <row r="44" spans="1:7">
      <c r="A44" s="12">
        <v>43142</v>
      </c>
      <c r="B44" s="13"/>
      <c r="C44" s="14"/>
      <c r="E44" s="12">
        <v>43142</v>
      </c>
      <c r="F44" s="11"/>
      <c r="G44" s="11">
        <f t="shared" si="1"/>
        <v>-10.559999999999999</v>
      </c>
    </row>
    <row r="45" spans="1:7">
      <c r="A45" s="12">
        <v>43143</v>
      </c>
      <c r="B45" s="13"/>
      <c r="C45" s="14"/>
      <c r="E45" s="12">
        <v>43143</v>
      </c>
      <c r="F45" s="11"/>
      <c r="G45" s="11">
        <f t="shared" si="1"/>
        <v>-10.559999999999999</v>
      </c>
    </row>
    <row r="46" spans="1:7">
      <c r="A46" s="8">
        <v>43144</v>
      </c>
      <c r="B46" s="9"/>
      <c r="C46" s="10"/>
      <c r="E46" s="8">
        <v>43144</v>
      </c>
      <c r="F46" s="11"/>
      <c r="G46" s="11">
        <f t="shared" si="1"/>
        <v>-10.559999999999999</v>
      </c>
    </row>
    <row r="47" spans="1:7">
      <c r="A47" s="8">
        <v>43145</v>
      </c>
      <c r="B47" s="9"/>
      <c r="C47" s="10"/>
      <c r="E47" s="8">
        <v>43145</v>
      </c>
      <c r="F47" s="11"/>
      <c r="G47" s="11">
        <f t="shared" si="1"/>
        <v>-10.559999999999999</v>
      </c>
    </row>
    <row r="48" spans="1:7">
      <c r="A48" s="8">
        <v>43146</v>
      </c>
      <c r="B48" s="9"/>
      <c r="C48" s="10"/>
      <c r="E48" s="8">
        <v>43146</v>
      </c>
      <c r="F48" s="11"/>
      <c r="G48" s="11">
        <f t="shared" si="1"/>
        <v>-10.559999999999999</v>
      </c>
    </row>
    <row r="49" spans="1:7">
      <c r="A49" s="12">
        <v>43147</v>
      </c>
      <c r="B49" s="13"/>
      <c r="C49" s="14"/>
      <c r="E49" s="12">
        <v>43147</v>
      </c>
      <c r="F49" s="11"/>
      <c r="G49" s="11">
        <f t="shared" si="1"/>
        <v>-10.559999999999999</v>
      </c>
    </row>
    <row r="50" spans="1:7">
      <c r="A50" s="12">
        <v>43148</v>
      </c>
      <c r="B50" s="13"/>
      <c r="C50" s="14"/>
      <c r="E50" s="12">
        <v>43148</v>
      </c>
      <c r="F50" s="11"/>
      <c r="G50" s="11">
        <f t="shared" si="1"/>
        <v>-10.559999999999999</v>
      </c>
    </row>
    <row r="51" spans="1:7">
      <c r="A51" s="12">
        <v>43149</v>
      </c>
      <c r="B51" s="13"/>
      <c r="C51" s="14"/>
      <c r="E51" s="12">
        <v>43149</v>
      </c>
      <c r="F51" s="11"/>
      <c r="G51" s="11">
        <f t="shared" si="1"/>
        <v>-10.559999999999999</v>
      </c>
    </row>
    <row r="52" spans="1:7">
      <c r="A52" s="12">
        <v>43150</v>
      </c>
      <c r="B52" s="13"/>
      <c r="C52" s="14"/>
      <c r="E52" s="12">
        <v>43150</v>
      </c>
      <c r="F52" s="11"/>
      <c r="G52" s="11">
        <f t="shared" si="1"/>
        <v>-10.559999999999999</v>
      </c>
    </row>
    <row r="53" spans="1:7">
      <c r="A53" s="8">
        <v>43151</v>
      </c>
      <c r="B53" s="9"/>
      <c r="C53" s="10"/>
      <c r="E53" s="8">
        <v>43151</v>
      </c>
      <c r="F53" s="11"/>
      <c r="G53" s="11">
        <f t="shared" si="1"/>
        <v>-10.559999999999999</v>
      </c>
    </row>
    <row r="54" spans="1:7">
      <c r="A54" s="8">
        <v>43152</v>
      </c>
      <c r="B54" s="9"/>
      <c r="C54" s="10"/>
      <c r="E54" s="8">
        <v>43152</v>
      </c>
      <c r="F54" s="11"/>
      <c r="G54" s="11">
        <f t="shared" si="1"/>
        <v>-10.559999999999999</v>
      </c>
    </row>
    <row r="55" spans="1:7">
      <c r="A55" s="8">
        <v>43153</v>
      </c>
      <c r="B55" s="9"/>
      <c r="C55" s="10"/>
      <c r="E55" s="8">
        <v>43153</v>
      </c>
      <c r="F55" s="11"/>
      <c r="G55" s="11">
        <f t="shared" si="1"/>
        <v>-10.559999999999999</v>
      </c>
    </row>
    <row r="56" spans="1:7">
      <c r="A56" s="12">
        <v>43154</v>
      </c>
      <c r="B56" s="13"/>
      <c r="C56" s="14"/>
      <c r="E56" s="12">
        <v>43154</v>
      </c>
      <c r="F56" s="11"/>
      <c r="G56" s="11">
        <f t="shared" si="1"/>
        <v>-10.559999999999999</v>
      </c>
    </row>
    <row r="57" spans="1:7">
      <c r="A57" s="12">
        <v>43155</v>
      </c>
      <c r="B57" s="13"/>
      <c r="C57" s="14"/>
      <c r="E57" s="12">
        <v>43155</v>
      </c>
      <c r="F57" s="11"/>
      <c r="G57" s="11">
        <f t="shared" si="1"/>
        <v>-10.559999999999999</v>
      </c>
    </row>
    <row r="58" spans="1:7">
      <c r="A58" s="12">
        <v>43156</v>
      </c>
      <c r="B58" s="13"/>
      <c r="C58" s="14"/>
      <c r="E58" s="12">
        <v>43156</v>
      </c>
      <c r="F58" s="11"/>
      <c r="G58" s="11">
        <f t="shared" si="1"/>
        <v>-10.559999999999999</v>
      </c>
    </row>
    <row r="59" spans="1:7">
      <c r="A59" s="12">
        <v>43157</v>
      </c>
      <c r="B59" s="13"/>
      <c r="C59" s="14"/>
      <c r="E59" s="12">
        <v>43157</v>
      </c>
      <c r="F59" s="11"/>
      <c r="G59" s="11">
        <f t="shared" si="1"/>
        <v>-10.559999999999999</v>
      </c>
    </row>
    <row r="60" spans="1:7">
      <c r="A60" s="8">
        <v>43158</v>
      </c>
      <c r="B60" s="9"/>
      <c r="C60" s="10"/>
      <c r="E60" s="8">
        <v>43158</v>
      </c>
      <c r="F60" s="11"/>
      <c r="G60" s="11">
        <f t="shared" si="1"/>
        <v>-10.559999999999999</v>
      </c>
    </row>
    <row r="61" spans="1:7">
      <c r="A61" s="8">
        <v>43159</v>
      </c>
      <c r="B61" s="9"/>
      <c r="C61" s="10"/>
      <c r="E61" s="8">
        <v>43159</v>
      </c>
      <c r="F61" s="11"/>
      <c r="G61" s="11">
        <f t="shared" si="1"/>
        <v>-10.559999999999999</v>
      </c>
    </row>
    <row r="62" spans="1:7">
      <c r="A62" s="8">
        <v>43160</v>
      </c>
      <c r="B62" s="9"/>
      <c r="C62" s="10"/>
      <c r="E62" s="8">
        <v>43160</v>
      </c>
      <c r="F62" s="11"/>
      <c r="G62" s="11">
        <f t="shared" si="1"/>
        <v>-10.559999999999999</v>
      </c>
    </row>
    <row r="63" spans="1:7">
      <c r="A63" s="12">
        <v>43161</v>
      </c>
      <c r="B63" s="13"/>
      <c r="C63" s="14"/>
      <c r="E63" s="12">
        <v>43161</v>
      </c>
      <c r="F63" s="11"/>
      <c r="G63" s="11">
        <f t="shared" si="1"/>
        <v>-10.559999999999999</v>
      </c>
    </row>
    <row r="64" spans="1:7">
      <c r="A64" s="12">
        <v>43162</v>
      </c>
      <c r="B64" s="13"/>
      <c r="C64" s="14"/>
      <c r="E64" s="12">
        <v>43162</v>
      </c>
      <c r="F64" s="11"/>
      <c r="G64" s="11">
        <f t="shared" si="1"/>
        <v>-10.559999999999999</v>
      </c>
    </row>
    <row r="65" spans="1:7">
      <c r="A65" s="12">
        <v>43163</v>
      </c>
      <c r="B65" s="13"/>
      <c r="C65" s="14"/>
      <c r="E65" s="12">
        <v>43163</v>
      </c>
      <c r="F65" s="11"/>
      <c r="G65" s="11">
        <f t="shared" si="1"/>
        <v>-10.559999999999999</v>
      </c>
    </row>
    <row r="66" spans="1:7">
      <c r="A66" s="12">
        <v>43164</v>
      </c>
      <c r="B66" s="13"/>
      <c r="C66" s="14"/>
      <c r="E66" s="12">
        <v>43164</v>
      </c>
      <c r="F66" s="11"/>
      <c r="G66" s="11">
        <f t="shared" si="1"/>
        <v>-10.559999999999999</v>
      </c>
    </row>
    <row r="67" spans="1:7">
      <c r="A67" s="8">
        <v>43165</v>
      </c>
      <c r="B67" s="9"/>
      <c r="C67" s="10"/>
      <c r="E67" s="8">
        <v>43165</v>
      </c>
      <c r="F67" s="11"/>
      <c r="G67" s="11">
        <f t="shared" si="1"/>
        <v>-10.559999999999999</v>
      </c>
    </row>
    <row r="68" spans="1:7">
      <c r="A68" s="8">
        <v>43166</v>
      </c>
      <c r="B68" s="9"/>
      <c r="C68" s="10"/>
      <c r="E68" s="8">
        <v>43166</v>
      </c>
      <c r="F68" s="11"/>
      <c r="G68" s="11">
        <f t="shared" si="1"/>
        <v>-10.559999999999999</v>
      </c>
    </row>
    <row r="69" spans="1:7">
      <c r="A69" s="8">
        <v>43167</v>
      </c>
      <c r="B69" s="9"/>
      <c r="C69" s="10"/>
      <c r="E69" s="8">
        <v>43167</v>
      </c>
      <c r="F69" s="11"/>
      <c r="G69" s="11">
        <f t="shared" si="1"/>
        <v>-10.559999999999999</v>
      </c>
    </row>
    <row r="70" spans="1:7">
      <c r="A70" s="12">
        <v>43168</v>
      </c>
      <c r="B70" s="13"/>
      <c r="C70" s="14"/>
      <c r="E70" s="12">
        <v>43168</v>
      </c>
      <c r="F70" s="11"/>
      <c r="G70" s="11">
        <f t="shared" si="1"/>
        <v>-10.559999999999999</v>
      </c>
    </row>
    <row r="71" spans="1:7">
      <c r="A71" s="12">
        <v>43169</v>
      </c>
      <c r="B71" s="13"/>
      <c r="C71" s="14"/>
      <c r="E71" s="12">
        <v>43169</v>
      </c>
      <c r="F71" s="11"/>
      <c r="G71" s="11">
        <f t="shared" si="1"/>
        <v>-10.559999999999999</v>
      </c>
    </row>
    <row r="72" spans="1:7">
      <c r="A72" s="12">
        <v>43170</v>
      </c>
      <c r="B72" s="13"/>
      <c r="C72" s="14"/>
      <c r="E72" s="12">
        <v>43170</v>
      </c>
      <c r="F72" s="11"/>
      <c r="G72" s="11">
        <f t="shared" si="1"/>
        <v>-10.559999999999999</v>
      </c>
    </row>
    <row r="73" spans="1:7">
      <c r="A73" s="12">
        <v>43171</v>
      </c>
      <c r="B73" s="13"/>
      <c r="C73" s="14"/>
      <c r="E73" s="12">
        <v>43171</v>
      </c>
      <c r="F73" s="11"/>
      <c r="G73" s="11">
        <f t="shared" si="1"/>
        <v>-10.559999999999999</v>
      </c>
    </row>
    <row r="74" spans="1:7">
      <c r="A74" s="8">
        <v>43172</v>
      </c>
      <c r="B74" s="9"/>
      <c r="C74" s="10"/>
      <c r="E74" s="8">
        <v>43172</v>
      </c>
      <c r="F74" s="11"/>
      <c r="G74" s="11">
        <f t="shared" si="1"/>
        <v>-10.559999999999999</v>
      </c>
    </row>
    <row r="75" spans="1:7">
      <c r="A75" s="8">
        <v>43173</v>
      </c>
      <c r="B75" s="9"/>
      <c r="C75" s="10"/>
      <c r="E75" s="8">
        <v>43173</v>
      </c>
      <c r="F75" s="11"/>
      <c r="G75" s="11">
        <f t="shared" si="1"/>
        <v>-10.559999999999999</v>
      </c>
    </row>
    <row r="76" spans="1:7">
      <c r="A76" s="8">
        <v>43174</v>
      </c>
      <c r="B76" s="9"/>
      <c r="C76" s="10"/>
      <c r="E76" s="8">
        <v>43174</v>
      </c>
      <c r="F76" s="11"/>
      <c r="G76" s="11">
        <f t="shared" si="1"/>
        <v>-10.559999999999999</v>
      </c>
    </row>
    <row r="77" spans="1:7">
      <c r="A77" s="12">
        <v>43175</v>
      </c>
      <c r="B77" s="13"/>
      <c r="C77" s="14"/>
      <c r="E77" s="12">
        <v>43175</v>
      </c>
      <c r="F77" s="11"/>
      <c r="G77" s="11">
        <f t="shared" si="1"/>
        <v>-10.559999999999999</v>
      </c>
    </row>
    <row r="78" spans="1:7">
      <c r="A78" s="12">
        <v>43176</v>
      </c>
      <c r="B78" s="13"/>
      <c r="C78" s="14"/>
      <c r="E78" s="12">
        <v>43176</v>
      </c>
      <c r="F78" s="11"/>
      <c r="G78" s="11">
        <f t="shared" si="1"/>
        <v>-10.559999999999999</v>
      </c>
    </row>
    <row r="79" spans="1:7">
      <c r="A79" s="12">
        <v>43177</v>
      </c>
      <c r="B79" s="13"/>
      <c r="C79" s="14"/>
      <c r="E79" s="12">
        <v>43177</v>
      </c>
      <c r="F79" s="11"/>
      <c r="G79" s="11">
        <f t="shared" si="1"/>
        <v>-10.559999999999999</v>
      </c>
    </row>
    <row r="80" spans="1:7">
      <c r="A80" s="12">
        <v>43178</v>
      </c>
      <c r="B80" s="13"/>
      <c r="C80" s="14"/>
      <c r="E80" s="12">
        <v>43178</v>
      </c>
      <c r="F80" s="11"/>
      <c r="G80" s="11">
        <f t="shared" si="1"/>
        <v>-10.559999999999999</v>
      </c>
    </row>
    <row r="81" spans="1:7">
      <c r="A81" s="8">
        <v>43179</v>
      </c>
      <c r="B81" s="9"/>
      <c r="C81" s="10"/>
      <c r="E81" s="8">
        <v>43179</v>
      </c>
      <c r="F81" s="11"/>
      <c r="G81" s="11">
        <f t="shared" si="1"/>
        <v>-10.559999999999999</v>
      </c>
    </row>
    <row r="82" spans="1:7">
      <c r="A82" s="8">
        <v>43180</v>
      </c>
      <c r="B82" s="9"/>
      <c r="C82" s="10"/>
      <c r="E82" s="8">
        <v>43180</v>
      </c>
      <c r="F82" s="11"/>
      <c r="G82" s="11">
        <f t="shared" ref="G82:G145" si="2">G81+F82</f>
        <v>-10.559999999999999</v>
      </c>
    </row>
    <row r="83" spans="1:7">
      <c r="A83" s="8">
        <v>43181</v>
      </c>
      <c r="B83" s="9"/>
      <c r="C83" s="10"/>
      <c r="E83" s="8">
        <v>43181</v>
      </c>
      <c r="F83" s="11"/>
      <c r="G83" s="11">
        <f t="shared" si="2"/>
        <v>-10.559999999999999</v>
      </c>
    </row>
    <row r="84" spans="1:7">
      <c r="A84" s="12">
        <v>43182</v>
      </c>
      <c r="B84" s="13"/>
      <c r="C84" s="14"/>
      <c r="E84" s="12">
        <v>43182</v>
      </c>
      <c r="F84" s="11"/>
      <c r="G84" s="11">
        <f t="shared" si="2"/>
        <v>-10.559999999999999</v>
      </c>
    </row>
    <row r="85" spans="1:7">
      <c r="A85" s="12">
        <v>43183</v>
      </c>
      <c r="B85" s="13"/>
      <c r="C85" s="14"/>
      <c r="E85" s="12">
        <v>43183</v>
      </c>
      <c r="F85" s="11"/>
      <c r="G85" s="11">
        <f t="shared" si="2"/>
        <v>-10.559999999999999</v>
      </c>
    </row>
    <row r="86" spans="1:7">
      <c r="A86" s="12">
        <v>43184</v>
      </c>
      <c r="B86" s="13"/>
      <c r="C86" s="14"/>
      <c r="E86" s="12">
        <v>43184</v>
      </c>
      <c r="F86" s="11"/>
      <c r="G86" s="11">
        <f t="shared" si="2"/>
        <v>-10.559999999999999</v>
      </c>
    </row>
    <row r="87" spans="1:7">
      <c r="A87" s="12">
        <v>43185</v>
      </c>
      <c r="B87" s="13"/>
      <c r="C87" s="14"/>
      <c r="E87" s="12">
        <v>43185</v>
      </c>
      <c r="F87" s="11"/>
      <c r="G87" s="11">
        <f t="shared" si="2"/>
        <v>-10.559999999999999</v>
      </c>
    </row>
    <row r="88" spans="1:7">
      <c r="A88" s="8">
        <v>43186</v>
      </c>
      <c r="B88" s="9"/>
      <c r="C88" s="10"/>
      <c r="E88" s="8">
        <v>43186</v>
      </c>
      <c r="F88" s="11"/>
      <c r="G88" s="11">
        <f t="shared" si="2"/>
        <v>-10.559999999999999</v>
      </c>
    </row>
    <row r="89" spans="1:7">
      <c r="A89" s="8">
        <v>43187</v>
      </c>
      <c r="B89" s="9"/>
      <c r="C89" s="10"/>
      <c r="E89" s="8">
        <v>43187</v>
      </c>
      <c r="F89" s="11"/>
      <c r="G89" s="11">
        <f t="shared" si="2"/>
        <v>-10.559999999999999</v>
      </c>
    </row>
    <row r="90" spans="1:7">
      <c r="A90" s="8">
        <v>43188</v>
      </c>
      <c r="B90" s="9"/>
      <c r="C90" s="10"/>
      <c r="E90" s="8">
        <v>43188</v>
      </c>
      <c r="F90" s="11"/>
      <c r="G90" s="11">
        <f t="shared" si="2"/>
        <v>-10.559999999999999</v>
      </c>
    </row>
    <row r="91" spans="1:7">
      <c r="A91" s="12">
        <v>43189</v>
      </c>
      <c r="B91" s="13"/>
      <c r="C91" s="14"/>
      <c r="E91" s="12">
        <v>43189</v>
      </c>
      <c r="F91" s="11"/>
      <c r="G91" s="11">
        <f t="shared" si="2"/>
        <v>-10.559999999999999</v>
      </c>
    </row>
    <row r="92" spans="1:7">
      <c r="A92" s="12">
        <v>43190</v>
      </c>
      <c r="B92" s="13"/>
      <c r="C92" s="14"/>
      <c r="E92" s="12">
        <v>43190</v>
      </c>
      <c r="F92" s="11"/>
      <c r="G92" s="11">
        <f t="shared" si="2"/>
        <v>-10.559999999999999</v>
      </c>
    </row>
    <row r="93" spans="1:7">
      <c r="A93" s="12">
        <v>43191</v>
      </c>
      <c r="B93" s="13"/>
      <c r="C93" s="14"/>
      <c r="E93" s="12">
        <v>43191</v>
      </c>
      <c r="F93" s="11"/>
      <c r="G93" s="11">
        <f t="shared" si="2"/>
        <v>-10.559999999999999</v>
      </c>
    </row>
    <row r="94" spans="1:7">
      <c r="A94" s="12">
        <v>43192</v>
      </c>
      <c r="B94" s="13"/>
      <c r="C94" s="14"/>
      <c r="E94" s="12">
        <v>43192</v>
      </c>
      <c r="F94" s="11"/>
      <c r="G94" s="11">
        <f t="shared" si="2"/>
        <v>-10.559999999999999</v>
      </c>
    </row>
    <row r="95" spans="1:7">
      <c r="A95" s="8">
        <v>43193</v>
      </c>
      <c r="B95" s="9"/>
      <c r="C95" s="10"/>
      <c r="E95" s="8">
        <v>43193</v>
      </c>
      <c r="F95" s="11"/>
      <c r="G95" s="11">
        <f t="shared" si="2"/>
        <v>-10.559999999999999</v>
      </c>
    </row>
    <row r="96" spans="1:7">
      <c r="A96" s="8">
        <v>43194</v>
      </c>
      <c r="B96" s="9"/>
      <c r="C96" s="10"/>
      <c r="E96" s="8">
        <v>43194</v>
      </c>
      <c r="F96" s="11"/>
      <c r="G96" s="11">
        <f t="shared" si="2"/>
        <v>-10.559999999999999</v>
      </c>
    </row>
    <row r="97" spans="1:7">
      <c r="A97" s="8">
        <v>43195</v>
      </c>
      <c r="B97" s="9"/>
      <c r="C97" s="10"/>
      <c r="E97" s="8">
        <v>43195</v>
      </c>
      <c r="F97" s="11"/>
      <c r="G97" s="11">
        <f t="shared" si="2"/>
        <v>-10.559999999999999</v>
      </c>
    </row>
    <row r="98" spans="1:7">
      <c r="A98" s="12">
        <v>43196</v>
      </c>
      <c r="B98" s="13"/>
      <c r="C98" s="14"/>
      <c r="E98" s="12">
        <v>43196</v>
      </c>
      <c r="F98" s="11"/>
      <c r="G98" s="11">
        <f t="shared" si="2"/>
        <v>-10.559999999999999</v>
      </c>
    </row>
    <row r="99" spans="1:7">
      <c r="A99" s="12">
        <v>43197</v>
      </c>
      <c r="B99" s="13"/>
      <c r="C99" s="14"/>
      <c r="E99" s="12">
        <v>43197</v>
      </c>
      <c r="F99" s="11"/>
      <c r="G99" s="11">
        <f t="shared" si="2"/>
        <v>-10.559999999999999</v>
      </c>
    </row>
    <row r="100" spans="1:7">
      <c r="A100" s="12">
        <v>43198</v>
      </c>
      <c r="B100" s="13"/>
      <c r="C100" s="14"/>
      <c r="E100" s="12">
        <v>43198</v>
      </c>
      <c r="F100" s="11"/>
      <c r="G100" s="11">
        <f t="shared" si="2"/>
        <v>-10.559999999999999</v>
      </c>
    </row>
    <row r="101" spans="1:7">
      <c r="A101" s="12">
        <v>43199</v>
      </c>
      <c r="B101" s="13"/>
      <c r="C101" s="14"/>
      <c r="E101" s="12">
        <v>43199</v>
      </c>
      <c r="F101" s="11"/>
      <c r="G101" s="11">
        <f t="shared" si="2"/>
        <v>-10.559999999999999</v>
      </c>
    </row>
    <row r="102" spans="1:7">
      <c r="A102" s="8">
        <v>43200</v>
      </c>
      <c r="B102" s="9"/>
      <c r="C102" s="10"/>
      <c r="E102" s="8">
        <v>43200</v>
      </c>
      <c r="F102" s="11"/>
      <c r="G102" s="11">
        <f t="shared" si="2"/>
        <v>-10.559999999999999</v>
      </c>
    </row>
    <row r="103" spans="1:7">
      <c r="A103" s="8">
        <v>43201</v>
      </c>
      <c r="B103" s="9"/>
      <c r="C103" s="10"/>
      <c r="E103" s="8">
        <v>43201</v>
      </c>
      <c r="F103" s="11"/>
      <c r="G103" s="11">
        <f t="shared" si="2"/>
        <v>-10.559999999999999</v>
      </c>
    </row>
    <row r="104" spans="1:7">
      <c r="A104" s="8">
        <v>43202</v>
      </c>
      <c r="B104" s="9"/>
      <c r="C104" s="10"/>
      <c r="E104" s="8">
        <v>43202</v>
      </c>
      <c r="F104" s="11"/>
      <c r="G104" s="11">
        <f t="shared" si="2"/>
        <v>-10.559999999999999</v>
      </c>
    </row>
    <row r="105" spans="1:7">
      <c r="A105" s="12">
        <v>43203</v>
      </c>
      <c r="B105" s="13"/>
      <c r="C105" s="14"/>
      <c r="E105" s="12">
        <v>43203</v>
      </c>
      <c r="F105" s="11"/>
      <c r="G105" s="11">
        <f t="shared" si="2"/>
        <v>-10.559999999999999</v>
      </c>
    </row>
    <row r="106" spans="1:7">
      <c r="A106" s="12">
        <v>43204</v>
      </c>
      <c r="B106" s="13"/>
      <c r="C106" s="14" t="s">
        <v>25</v>
      </c>
      <c r="E106" s="12">
        <v>43204</v>
      </c>
      <c r="F106" s="11">
        <v>4.4400000000000004</v>
      </c>
      <c r="G106" s="11">
        <f t="shared" si="2"/>
        <v>-6.1199999999999983</v>
      </c>
    </row>
    <row r="107" spans="1:7">
      <c r="A107" s="12">
        <v>43205</v>
      </c>
      <c r="B107" s="13"/>
      <c r="C107" s="14"/>
      <c r="E107" s="12">
        <v>43205</v>
      </c>
      <c r="F107" s="11"/>
      <c r="G107" s="11">
        <f t="shared" si="2"/>
        <v>-6.1199999999999983</v>
      </c>
    </row>
    <row r="108" spans="1:7">
      <c r="A108" s="12">
        <v>43206</v>
      </c>
      <c r="B108" s="13"/>
      <c r="C108" s="14"/>
      <c r="E108" s="12">
        <v>43206</v>
      </c>
      <c r="F108" s="11"/>
      <c r="G108" s="11">
        <f t="shared" si="2"/>
        <v>-6.1199999999999983</v>
      </c>
    </row>
    <row r="109" spans="1:7">
      <c r="A109" s="8">
        <v>43207</v>
      </c>
      <c r="B109" s="9"/>
      <c r="C109" s="10" t="s">
        <v>2</v>
      </c>
      <c r="E109" s="8">
        <v>43207</v>
      </c>
      <c r="F109" s="11">
        <v>-2.96</v>
      </c>
      <c r="G109" s="11">
        <f t="shared" si="2"/>
        <v>-9.0799999999999983</v>
      </c>
    </row>
    <row r="110" spans="1:7">
      <c r="A110" s="8">
        <v>43208</v>
      </c>
      <c r="B110" s="9"/>
      <c r="C110" s="10"/>
      <c r="E110" s="8">
        <v>43208</v>
      </c>
      <c r="F110" s="11"/>
      <c r="G110" s="11">
        <f t="shared" si="2"/>
        <v>-9.0799999999999983</v>
      </c>
    </row>
    <row r="111" spans="1:7">
      <c r="A111" s="8">
        <v>43209</v>
      </c>
      <c r="B111" s="9"/>
      <c r="C111" s="10"/>
      <c r="E111" s="8">
        <v>43209</v>
      </c>
      <c r="F111" s="11"/>
      <c r="G111" s="11">
        <f t="shared" si="2"/>
        <v>-9.0799999999999983</v>
      </c>
    </row>
    <row r="112" spans="1:7">
      <c r="A112" s="12">
        <v>43210</v>
      </c>
      <c r="B112" s="13"/>
      <c r="C112" s="14"/>
      <c r="E112" s="12">
        <v>43210</v>
      </c>
      <c r="F112" s="11"/>
      <c r="G112" s="11">
        <f t="shared" si="2"/>
        <v>-9.0799999999999983</v>
      </c>
    </row>
    <row r="113" spans="1:7">
      <c r="A113" s="12">
        <v>43211</v>
      </c>
      <c r="B113" s="13"/>
      <c r="C113" s="14"/>
      <c r="E113" s="12">
        <v>43211</v>
      </c>
      <c r="F113" s="11"/>
      <c r="G113" s="11">
        <f t="shared" si="2"/>
        <v>-9.0799999999999983</v>
      </c>
    </row>
    <row r="114" spans="1:7">
      <c r="A114" s="12">
        <v>43212</v>
      </c>
      <c r="B114" s="13"/>
      <c r="C114" s="14"/>
      <c r="E114" s="12">
        <v>43212</v>
      </c>
      <c r="F114" s="11"/>
      <c r="G114" s="11">
        <f t="shared" si="2"/>
        <v>-9.0799999999999983</v>
      </c>
    </row>
    <row r="115" spans="1:7">
      <c r="A115" s="12">
        <v>43213</v>
      </c>
      <c r="B115" s="13"/>
      <c r="C115" s="14"/>
      <c r="E115" s="12">
        <v>43213</v>
      </c>
      <c r="F115" s="11"/>
      <c r="G115" s="11">
        <f t="shared" si="2"/>
        <v>-9.0799999999999983</v>
      </c>
    </row>
    <row r="116" spans="1:7">
      <c r="A116" s="8">
        <v>43214</v>
      </c>
      <c r="B116" s="9"/>
      <c r="C116" s="10"/>
      <c r="E116" s="8">
        <v>43214</v>
      </c>
      <c r="F116" s="11"/>
      <c r="G116" s="11">
        <f t="shared" si="2"/>
        <v>-9.0799999999999983</v>
      </c>
    </row>
    <row r="117" spans="1:7">
      <c r="A117" s="8">
        <v>43215</v>
      </c>
      <c r="B117" s="9"/>
      <c r="C117" s="10"/>
      <c r="E117" s="8">
        <v>43215</v>
      </c>
      <c r="F117" s="11"/>
      <c r="G117" s="11">
        <f t="shared" si="2"/>
        <v>-9.0799999999999983</v>
      </c>
    </row>
    <row r="118" spans="1:7">
      <c r="A118" s="8">
        <v>43216</v>
      </c>
      <c r="B118" s="9"/>
      <c r="C118" s="10"/>
      <c r="E118" s="8">
        <v>43216</v>
      </c>
      <c r="F118" s="11"/>
      <c r="G118" s="11">
        <f t="shared" si="2"/>
        <v>-9.0799999999999983</v>
      </c>
    </row>
    <row r="119" spans="1:7">
      <c r="A119" s="12">
        <v>43217</v>
      </c>
      <c r="B119" s="13"/>
      <c r="C119" s="14"/>
      <c r="E119" s="12">
        <v>43217</v>
      </c>
      <c r="F119" s="11"/>
      <c r="G119" s="11">
        <f t="shared" si="2"/>
        <v>-9.0799999999999983</v>
      </c>
    </row>
    <row r="120" spans="1:7">
      <c r="A120" s="12">
        <v>43218</v>
      </c>
      <c r="B120" s="13"/>
      <c r="C120" s="14"/>
      <c r="E120" s="12">
        <v>43218</v>
      </c>
      <c r="F120" s="11"/>
      <c r="G120" s="11">
        <f t="shared" si="2"/>
        <v>-9.0799999999999983</v>
      </c>
    </row>
    <row r="121" spans="1:7">
      <c r="A121" s="12">
        <v>43219</v>
      </c>
      <c r="B121" s="13"/>
      <c r="C121" s="14"/>
      <c r="E121" s="12">
        <v>43219</v>
      </c>
      <c r="F121" s="11"/>
      <c r="G121" s="11">
        <f t="shared" si="2"/>
        <v>-9.0799999999999983</v>
      </c>
    </row>
    <row r="122" spans="1:7">
      <c r="A122" s="12">
        <v>43220</v>
      </c>
      <c r="B122" s="13"/>
      <c r="C122" s="14"/>
      <c r="E122" s="12">
        <v>43220</v>
      </c>
      <c r="F122" s="11"/>
      <c r="G122" s="11">
        <f t="shared" si="2"/>
        <v>-9.0799999999999983</v>
      </c>
    </row>
    <row r="123" spans="1:7">
      <c r="A123" s="8">
        <v>43221</v>
      </c>
      <c r="B123" s="9"/>
      <c r="C123" s="10" t="s">
        <v>42</v>
      </c>
      <c r="E123" s="8">
        <v>43221</v>
      </c>
      <c r="F123" s="11">
        <v>-2.96</v>
      </c>
      <c r="G123" s="11">
        <f t="shared" si="2"/>
        <v>-12.04</v>
      </c>
    </row>
    <row r="124" spans="1:7">
      <c r="A124" s="8">
        <v>43222</v>
      </c>
      <c r="B124" s="9"/>
      <c r="C124" s="10"/>
      <c r="E124" s="8">
        <v>43222</v>
      </c>
      <c r="F124" s="11"/>
      <c r="G124" s="11">
        <f t="shared" si="2"/>
        <v>-12.04</v>
      </c>
    </row>
    <row r="125" spans="1:7">
      <c r="A125" s="8">
        <v>43223</v>
      </c>
      <c r="B125" s="9"/>
      <c r="C125" s="10" t="s">
        <v>45</v>
      </c>
      <c r="E125" s="8">
        <v>43223</v>
      </c>
      <c r="F125" s="11"/>
      <c r="G125" s="11">
        <f t="shared" si="2"/>
        <v>-12.04</v>
      </c>
    </row>
    <row r="126" spans="1:7">
      <c r="A126" s="12">
        <v>43224</v>
      </c>
      <c r="B126" s="13"/>
      <c r="C126" s="14"/>
      <c r="E126" s="12">
        <v>43224</v>
      </c>
      <c r="F126" s="11"/>
      <c r="G126" s="11">
        <f t="shared" si="2"/>
        <v>-12.04</v>
      </c>
    </row>
    <row r="127" spans="1:7">
      <c r="A127" s="12">
        <v>43225</v>
      </c>
      <c r="B127" s="13"/>
      <c r="C127" s="14"/>
      <c r="E127" s="12">
        <v>43225</v>
      </c>
      <c r="F127" s="11"/>
      <c r="G127" s="11">
        <f t="shared" si="2"/>
        <v>-12.04</v>
      </c>
    </row>
    <row r="128" spans="1:7">
      <c r="A128" s="12">
        <v>43226</v>
      </c>
      <c r="B128" s="13"/>
      <c r="C128" s="14"/>
      <c r="E128" s="12">
        <v>43226</v>
      </c>
      <c r="F128" s="11"/>
      <c r="G128" s="11">
        <f t="shared" si="2"/>
        <v>-12.04</v>
      </c>
    </row>
    <row r="129" spans="1:7">
      <c r="A129" s="12">
        <v>43227</v>
      </c>
      <c r="B129" s="13"/>
      <c r="C129" s="14"/>
      <c r="E129" s="12">
        <v>43227</v>
      </c>
      <c r="F129" s="11"/>
      <c r="G129" s="11">
        <f t="shared" si="2"/>
        <v>-12.04</v>
      </c>
    </row>
    <row r="130" spans="1:7">
      <c r="A130" s="8">
        <v>43228</v>
      </c>
      <c r="B130" s="9"/>
      <c r="C130" s="10" t="s">
        <v>46</v>
      </c>
      <c r="E130" s="8">
        <v>43228</v>
      </c>
      <c r="F130" s="11"/>
      <c r="G130" s="11">
        <f t="shared" si="2"/>
        <v>-12.04</v>
      </c>
    </row>
    <row r="131" spans="1:7">
      <c r="A131" s="8">
        <v>43229</v>
      </c>
      <c r="B131" s="9"/>
      <c r="C131" s="10"/>
      <c r="E131" s="8">
        <v>43229</v>
      </c>
      <c r="F131" s="11"/>
      <c r="G131" s="11">
        <f t="shared" si="2"/>
        <v>-12.04</v>
      </c>
    </row>
    <row r="132" spans="1:7">
      <c r="A132" s="8">
        <v>43230</v>
      </c>
      <c r="B132" s="9"/>
      <c r="C132" s="10"/>
      <c r="E132" s="8">
        <v>43230</v>
      </c>
      <c r="F132" s="11"/>
      <c r="G132" s="11">
        <f t="shared" si="2"/>
        <v>-12.04</v>
      </c>
    </row>
    <row r="133" spans="1:7">
      <c r="A133" s="12">
        <v>43231</v>
      </c>
      <c r="B133" s="13"/>
      <c r="C133" s="14"/>
      <c r="E133" s="12">
        <v>43231</v>
      </c>
      <c r="F133" s="11"/>
      <c r="G133" s="11">
        <f t="shared" si="2"/>
        <v>-12.04</v>
      </c>
    </row>
    <row r="134" spans="1:7">
      <c r="A134" s="12">
        <v>43232</v>
      </c>
      <c r="B134" s="13"/>
      <c r="C134" s="14"/>
      <c r="E134" s="12">
        <v>43232</v>
      </c>
      <c r="F134" s="11"/>
      <c r="G134" s="11">
        <f t="shared" si="2"/>
        <v>-12.04</v>
      </c>
    </row>
    <row r="135" spans="1:7">
      <c r="A135" s="12">
        <v>43233</v>
      </c>
      <c r="B135" s="13"/>
      <c r="C135" s="14"/>
      <c r="E135" s="12">
        <v>43233</v>
      </c>
      <c r="F135" s="11"/>
      <c r="G135" s="11">
        <f t="shared" si="2"/>
        <v>-12.04</v>
      </c>
    </row>
    <row r="136" spans="1:7">
      <c r="A136" s="12">
        <v>43234</v>
      </c>
      <c r="B136" s="13"/>
      <c r="C136" s="14"/>
      <c r="E136" s="12">
        <v>43234</v>
      </c>
      <c r="F136" s="11"/>
      <c r="G136" s="11">
        <f t="shared" si="2"/>
        <v>-12.04</v>
      </c>
    </row>
    <row r="137" spans="1:7">
      <c r="A137" s="8">
        <v>43235</v>
      </c>
      <c r="B137" s="9"/>
      <c r="C137" s="10"/>
      <c r="E137" s="8">
        <v>43235</v>
      </c>
      <c r="F137" s="11"/>
      <c r="G137" s="11">
        <f t="shared" si="2"/>
        <v>-12.04</v>
      </c>
    </row>
    <row r="138" spans="1:7">
      <c r="A138" s="8">
        <v>43236</v>
      </c>
      <c r="B138" s="9"/>
      <c r="C138" s="10"/>
      <c r="E138" s="8">
        <v>43236</v>
      </c>
      <c r="F138" s="11"/>
      <c r="G138" s="11">
        <f t="shared" si="2"/>
        <v>-12.04</v>
      </c>
    </row>
    <row r="139" spans="1:7">
      <c r="A139" s="8">
        <v>43237</v>
      </c>
      <c r="B139" s="9"/>
      <c r="C139" s="10"/>
      <c r="E139" s="8">
        <v>43237</v>
      </c>
      <c r="F139" s="11"/>
      <c r="G139" s="11">
        <f t="shared" si="2"/>
        <v>-12.04</v>
      </c>
    </row>
    <row r="140" spans="1:7">
      <c r="A140" s="12">
        <v>43238</v>
      </c>
      <c r="B140" s="13"/>
      <c r="C140" s="14"/>
      <c r="E140" s="12">
        <v>43238</v>
      </c>
      <c r="F140" s="11"/>
      <c r="G140" s="11">
        <f t="shared" si="2"/>
        <v>-12.04</v>
      </c>
    </row>
    <row r="141" spans="1:7">
      <c r="A141" s="12">
        <v>43239</v>
      </c>
      <c r="B141" s="13"/>
      <c r="C141" s="14"/>
      <c r="E141" s="12">
        <v>43239</v>
      </c>
      <c r="F141" s="11"/>
      <c r="G141" s="11">
        <f t="shared" si="2"/>
        <v>-12.04</v>
      </c>
    </row>
    <row r="142" spans="1:7">
      <c r="A142" s="12">
        <v>43240</v>
      </c>
      <c r="B142" s="13"/>
      <c r="C142" s="14"/>
      <c r="E142" s="12">
        <v>43240</v>
      </c>
      <c r="F142" s="11"/>
      <c r="G142" s="11">
        <f t="shared" si="2"/>
        <v>-12.04</v>
      </c>
    </row>
    <row r="143" spans="1:7">
      <c r="A143" s="12">
        <v>43241</v>
      </c>
      <c r="B143" s="13"/>
      <c r="C143" s="14"/>
      <c r="E143" s="12">
        <v>43241</v>
      </c>
      <c r="F143" s="11"/>
      <c r="G143" s="11">
        <f t="shared" si="2"/>
        <v>-12.04</v>
      </c>
    </row>
    <row r="144" spans="1:7">
      <c r="A144" s="8">
        <v>43242</v>
      </c>
      <c r="B144" s="9"/>
      <c r="C144" s="10"/>
      <c r="E144" s="8">
        <v>43242</v>
      </c>
      <c r="F144" s="11"/>
      <c r="G144" s="11">
        <f t="shared" si="2"/>
        <v>-12.04</v>
      </c>
    </row>
    <row r="145" spans="1:7">
      <c r="A145" s="8">
        <v>43243</v>
      </c>
      <c r="B145" s="9"/>
      <c r="C145" s="10"/>
      <c r="E145" s="8">
        <v>43243</v>
      </c>
      <c r="F145" s="11"/>
      <c r="G145" s="11">
        <f t="shared" si="2"/>
        <v>-12.04</v>
      </c>
    </row>
    <row r="146" spans="1:7">
      <c r="A146" s="8">
        <v>43244</v>
      </c>
      <c r="B146" s="9"/>
      <c r="C146" s="10"/>
      <c r="E146" s="8">
        <v>43244</v>
      </c>
      <c r="F146" s="11"/>
      <c r="G146" s="11">
        <f t="shared" ref="G146:G209" si="3">G145+F146</f>
        <v>-12.04</v>
      </c>
    </row>
    <row r="147" spans="1:7">
      <c r="A147" s="12">
        <v>43245</v>
      </c>
      <c r="B147" s="13"/>
      <c r="C147" s="14"/>
      <c r="E147" s="12">
        <v>43245</v>
      </c>
      <c r="F147" s="11"/>
      <c r="G147" s="11">
        <f t="shared" si="3"/>
        <v>-12.04</v>
      </c>
    </row>
    <row r="148" spans="1:7">
      <c r="A148" s="12">
        <v>43246</v>
      </c>
      <c r="B148" s="13"/>
      <c r="C148" s="14"/>
      <c r="E148" s="12">
        <v>43246</v>
      </c>
      <c r="F148" s="11"/>
      <c r="G148" s="11">
        <f t="shared" si="3"/>
        <v>-12.04</v>
      </c>
    </row>
    <row r="149" spans="1:7">
      <c r="A149" s="12">
        <v>43247</v>
      </c>
      <c r="B149" s="13"/>
      <c r="C149" s="14"/>
      <c r="E149" s="12">
        <v>43247</v>
      </c>
      <c r="F149" s="11"/>
      <c r="G149" s="11">
        <f t="shared" si="3"/>
        <v>-12.04</v>
      </c>
    </row>
    <row r="150" spans="1:7">
      <c r="A150" s="12">
        <v>43248</v>
      </c>
      <c r="B150" s="13"/>
      <c r="C150" s="14"/>
      <c r="E150" s="12">
        <v>43248</v>
      </c>
      <c r="F150" s="11"/>
      <c r="G150" s="11">
        <f t="shared" si="3"/>
        <v>-12.04</v>
      </c>
    </row>
    <row r="151" spans="1:7">
      <c r="A151" s="8">
        <v>43249</v>
      </c>
      <c r="B151" s="9"/>
      <c r="C151" s="10"/>
      <c r="E151" s="8">
        <v>43249</v>
      </c>
      <c r="F151" s="11"/>
      <c r="G151" s="11">
        <f t="shared" si="3"/>
        <v>-12.04</v>
      </c>
    </row>
    <row r="152" spans="1:7">
      <c r="A152" s="8">
        <v>43250</v>
      </c>
      <c r="B152" s="9"/>
      <c r="C152" s="10"/>
      <c r="E152" s="8">
        <v>43250</v>
      </c>
      <c r="F152" s="11"/>
      <c r="G152" s="11">
        <f t="shared" si="3"/>
        <v>-12.04</v>
      </c>
    </row>
    <row r="153" spans="1:7">
      <c r="A153" s="8">
        <v>43251</v>
      </c>
      <c r="B153" s="9"/>
      <c r="C153" s="10"/>
      <c r="E153" s="8">
        <v>43251</v>
      </c>
      <c r="F153" s="11"/>
      <c r="G153" s="11">
        <f t="shared" si="3"/>
        <v>-12.04</v>
      </c>
    </row>
    <row r="154" spans="1:7" ht="17">
      <c r="A154" s="12">
        <v>43252</v>
      </c>
      <c r="B154" s="13"/>
      <c r="C154" s="14" t="s">
        <v>43</v>
      </c>
      <c r="D154" s="3" t="s">
        <v>48</v>
      </c>
      <c r="E154" s="12">
        <v>43252</v>
      </c>
      <c r="F154" s="11">
        <v>4.4400000000000004</v>
      </c>
      <c r="G154" s="11">
        <f t="shared" si="3"/>
        <v>-7.5999999999999988</v>
      </c>
    </row>
    <row r="155" spans="1:7" ht="34">
      <c r="A155" s="12">
        <v>43253</v>
      </c>
      <c r="B155" s="13"/>
      <c r="C155" s="14" t="s">
        <v>44</v>
      </c>
      <c r="D155" s="3" t="s">
        <v>49</v>
      </c>
      <c r="E155" s="12">
        <v>43253</v>
      </c>
      <c r="F155" s="11">
        <v>4.4400000000000004</v>
      </c>
      <c r="G155" s="11">
        <f t="shared" si="3"/>
        <v>-3.1599999999999984</v>
      </c>
    </row>
    <row r="156" spans="1:7" ht="34">
      <c r="A156" s="12">
        <v>43254</v>
      </c>
      <c r="B156" s="13"/>
      <c r="C156" s="14"/>
      <c r="D156" s="3" t="s">
        <v>49</v>
      </c>
      <c r="E156" s="12">
        <v>43254</v>
      </c>
      <c r="F156" s="11"/>
      <c r="G156" s="11">
        <f t="shared" si="3"/>
        <v>-3.1599999999999984</v>
      </c>
    </row>
    <row r="157" spans="1:7" ht="34">
      <c r="A157" s="12">
        <v>43255</v>
      </c>
      <c r="B157" s="13"/>
      <c r="C157" s="14"/>
      <c r="D157" s="3" t="s">
        <v>50</v>
      </c>
      <c r="E157" s="12">
        <v>43255</v>
      </c>
      <c r="F157" s="11"/>
      <c r="G157" s="11">
        <f t="shared" si="3"/>
        <v>-3.1599999999999984</v>
      </c>
    </row>
    <row r="158" spans="1:7" ht="17">
      <c r="A158" s="8">
        <v>43256</v>
      </c>
      <c r="B158" s="9"/>
      <c r="C158" s="10"/>
      <c r="D158" s="3" t="s">
        <v>47</v>
      </c>
      <c r="E158" s="8">
        <v>43256</v>
      </c>
      <c r="F158" s="11">
        <v>-2.97</v>
      </c>
      <c r="G158" s="11">
        <f t="shared" si="3"/>
        <v>-6.129999999999999</v>
      </c>
    </row>
    <row r="159" spans="1:7" ht="17">
      <c r="A159" s="8">
        <v>43257</v>
      </c>
      <c r="B159" s="9"/>
      <c r="C159" s="10"/>
      <c r="D159" s="3" t="s">
        <v>47</v>
      </c>
      <c r="E159" s="8">
        <v>43257</v>
      </c>
      <c r="F159" s="11"/>
      <c r="G159" s="11">
        <f t="shared" si="3"/>
        <v>-6.129999999999999</v>
      </c>
    </row>
    <row r="160" spans="1:7" ht="17">
      <c r="A160" s="8">
        <v>43258</v>
      </c>
      <c r="B160" s="9"/>
      <c r="C160" s="10"/>
      <c r="D160" s="3" t="s">
        <v>47</v>
      </c>
      <c r="E160" s="8">
        <v>43258</v>
      </c>
      <c r="F160" s="11"/>
      <c r="G160" s="11">
        <f t="shared" si="3"/>
        <v>-6.129999999999999</v>
      </c>
    </row>
    <row r="161" spans="1:7" ht="17">
      <c r="A161" s="12">
        <v>43259</v>
      </c>
      <c r="B161" s="13"/>
      <c r="C161" s="14"/>
      <c r="D161" s="3" t="s">
        <v>47</v>
      </c>
      <c r="E161" s="12">
        <v>43259</v>
      </c>
      <c r="F161" s="11"/>
      <c r="G161" s="11">
        <f t="shared" si="3"/>
        <v>-6.129999999999999</v>
      </c>
    </row>
    <row r="162" spans="1:7">
      <c r="A162" s="12">
        <v>43260</v>
      </c>
      <c r="B162" s="13"/>
      <c r="C162" s="14"/>
      <c r="E162" s="12">
        <v>43260</v>
      </c>
      <c r="F162" s="11"/>
      <c r="G162" s="11">
        <f t="shared" si="3"/>
        <v>-6.129999999999999</v>
      </c>
    </row>
    <row r="163" spans="1:7">
      <c r="A163" s="12">
        <v>43261</v>
      </c>
      <c r="B163" s="13"/>
      <c r="C163" s="14"/>
      <c r="E163" s="12">
        <v>43261</v>
      </c>
      <c r="F163" s="11"/>
      <c r="G163" s="11">
        <f t="shared" si="3"/>
        <v>-6.129999999999999</v>
      </c>
    </row>
    <row r="164" spans="1:7" ht="17">
      <c r="A164" s="12">
        <v>43262</v>
      </c>
      <c r="B164" s="13"/>
      <c r="C164" s="14"/>
      <c r="D164" s="3" t="s">
        <v>51</v>
      </c>
      <c r="E164" s="12">
        <v>43262</v>
      </c>
      <c r="F164" s="11"/>
      <c r="G164" s="11">
        <f t="shared" si="3"/>
        <v>-6.129999999999999</v>
      </c>
    </row>
    <row r="165" spans="1:7">
      <c r="A165" s="8">
        <v>43263</v>
      </c>
      <c r="B165" s="9"/>
      <c r="C165" s="10"/>
      <c r="E165" s="8">
        <v>43263</v>
      </c>
      <c r="F165" s="11"/>
      <c r="G165" s="11">
        <f t="shared" si="3"/>
        <v>-6.129999999999999</v>
      </c>
    </row>
    <row r="166" spans="1:7">
      <c r="A166" s="8">
        <v>43264</v>
      </c>
      <c r="B166" s="9"/>
      <c r="C166" s="10"/>
      <c r="E166" s="8">
        <v>43264</v>
      </c>
      <c r="F166" s="11"/>
      <c r="G166" s="11">
        <f t="shared" si="3"/>
        <v>-6.129999999999999</v>
      </c>
    </row>
    <row r="167" spans="1:7">
      <c r="A167" s="8">
        <v>43265</v>
      </c>
      <c r="B167" s="9"/>
      <c r="C167" s="10"/>
      <c r="E167" s="8">
        <v>43265</v>
      </c>
      <c r="F167" s="11"/>
      <c r="G167" s="11">
        <f t="shared" si="3"/>
        <v>-6.129999999999999</v>
      </c>
    </row>
    <row r="168" spans="1:7">
      <c r="A168" s="12">
        <v>43266</v>
      </c>
      <c r="B168" s="13"/>
      <c r="C168" s="14"/>
      <c r="E168" s="12">
        <v>43266</v>
      </c>
      <c r="F168" s="11"/>
      <c r="G168" s="11">
        <f t="shared" si="3"/>
        <v>-6.129999999999999</v>
      </c>
    </row>
    <row r="169" spans="1:7">
      <c r="A169" s="12">
        <v>43267</v>
      </c>
      <c r="B169" s="13"/>
      <c r="C169" s="14"/>
      <c r="E169" s="12">
        <v>43267</v>
      </c>
      <c r="F169" s="11"/>
      <c r="G169" s="11">
        <f t="shared" si="3"/>
        <v>-6.129999999999999</v>
      </c>
    </row>
    <row r="170" spans="1:7">
      <c r="A170" s="12">
        <v>43268</v>
      </c>
      <c r="B170" s="13"/>
      <c r="C170" s="14"/>
      <c r="E170" s="12">
        <v>43268</v>
      </c>
      <c r="F170" s="11"/>
      <c r="G170" s="11">
        <f t="shared" si="3"/>
        <v>-6.129999999999999</v>
      </c>
    </row>
    <row r="171" spans="1:7">
      <c r="A171" s="12">
        <v>43269</v>
      </c>
      <c r="B171" s="13"/>
      <c r="C171" s="14"/>
      <c r="E171" s="12">
        <v>43269</v>
      </c>
      <c r="F171" s="11"/>
      <c r="G171" s="11">
        <f t="shared" si="3"/>
        <v>-6.129999999999999</v>
      </c>
    </row>
    <row r="172" spans="1:7">
      <c r="A172" s="8">
        <v>43270</v>
      </c>
      <c r="B172" s="9"/>
      <c r="C172" s="10"/>
      <c r="E172" s="8">
        <v>43270</v>
      </c>
      <c r="F172" s="11"/>
      <c r="G172" s="11">
        <f t="shared" si="3"/>
        <v>-6.129999999999999</v>
      </c>
    </row>
    <row r="173" spans="1:7">
      <c r="A173" s="8">
        <v>43271</v>
      </c>
      <c r="B173" s="9"/>
      <c r="C173" s="10"/>
      <c r="E173" s="8">
        <v>43271</v>
      </c>
      <c r="F173" s="11"/>
      <c r="G173" s="11">
        <f t="shared" si="3"/>
        <v>-6.129999999999999</v>
      </c>
    </row>
    <row r="174" spans="1:7">
      <c r="A174" s="8">
        <v>43272</v>
      </c>
      <c r="B174" s="9"/>
      <c r="C174" s="10"/>
      <c r="E174" s="8">
        <v>43272</v>
      </c>
      <c r="F174" s="11"/>
      <c r="G174" s="11">
        <f t="shared" si="3"/>
        <v>-6.129999999999999</v>
      </c>
    </row>
    <row r="175" spans="1:7">
      <c r="A175" s="12">
        <v>43273</v>
      </c>
      <c r="B175" s="13"/>
      <c r="C175" s="14"/>
      <c r="E175" s="12">
        <v>43273</v>
      </c>
      <c r="F175" s="11"/>
      <c r="G175" s="11">
        <f t="shared" si="3"/>
        <v>-6.129999999999999</v>
      </c>
    </row>
    <row r="176" spans="1:7">
      <c r="A176" s="12">
        <v>43274</v>
      </c>
      <c r="B176" s="13"/>
      <c r="C176" s="14"/>
      <c r="E176" s="12">
        <v>43274</v>
      </c>
      <c r="F176" s="11"/>
      <c r="G176" s="11">
        <f t="shared" si="3"/>
        <v>-6.129999999999999</v>
      </c>
    </row>
    <row r="177" spans="1:7">
      <c r="A177" s="12">
        <v>43275</v>
      </c>
      <c r="B177" s="13"/>
      <c r="C177" s="14"/>
      <c r="E177" s="12">
        <v>43275</v>
      </c>
      <c r="F177" s="11"/>
      <c r="G177" s="11">
        <f t="shared" si="3"/>
        <v>-6.129999999999999</v>
      </c>
    </row>
    <row r="178" spans="1:7">
      <c r="A178" s="12">
        <v>43276</v>
      </c>
      <c r="B178" s="13"/>
      <c r="C178" s="14"/>
      <c r="E178" s="12">
        <v>43276</v>
      </c>
      <c r="F178" s="11"/>
      <c r="G178" s="11">
        <f t="shared" si="3"/>
        <v>-6.129999999999999</v>
      </c>
    </row>
    <row r="179" spans="1:7">
      <c r="A179" s="8">
        <v>43277</v>
      </c>
      <c r="B179" s="9"/>
      <c r="C179" s="10"/>
      <c r="E179" s="8">
        <v>43277</v>
      </c>
      <c r="F179" s="11"/>
      <c r="G179" s="11">
        <f t="shared" si="3"/>
        <v>-6.129999999999999</v>
      </c>
    </row>
    <row r="180" spans="1:7">
      <c r="A180" s="8">
        <v>43278</v>
      </c>
      <c r="B180" s="9"/>
      <c r="C180" s="10"/>
      <c r="E180" s="8">
        <v>43278</v>
      </c>
      <c r="F180" s="11"/>
      <c r="G180" s="11">
        <f t="shared" si="3"/>
        <v>-6.129999999999999</v>
      </c>
    </row>
    <row r="181" spans="1:7">
      <c r="A181" s="8">
        <v>43279</v>
      </c>
      <c r="B181" s="9"/>
      <c r="C181" s="10"/>
      <c r="E181" s="8">
        <v>43279</v>
      </c>
      <c r="F181" s="11"/>
      <c r="G181" s="11">
        <f t="shared" si="3"/>
        <v>-6.129999999999999</v>
      </c>
    </row>
    <row r="182" spans="1:7">
      <c r="A182" s="12">
        <v>43280</v>
      </c>
      <c r="B182" s="13"/>
      <c r="C182" s="14"/>
      <c r="E182" s="12">
        <v>43280</v>
      </c>
      <c r="F182" s="11"/>
      <c r="G182" s="11">
        <f t="shared" si="3"/>
        <v>-6.129999999999999</v>
      </c>
    </row>
    <row r="183" spans="1:7">
      <c r="A183" s="12">
        <v>43281</v>
      </c>
      <c r="B183" s="13"/>
      <c r="C183" s="14"/>
      <c r="E183" s="12">
        <v>43281</v>
      </c>
      <c r="F183" s="11"/>
      <c r="G183" s="11">
        <f t="shared" si="3"/>
        <v>-6.129999999999999</v>
      </c>
    </row>
    <row r="184" spans="1:7">
      <c r="A184" s="12">
        <v>43282</v>
      </c>
      <c r="B184" s="13"/>
      <c r="C184" s="14"/>
      <c r="E184" s="12">
        <v>43282</v>
      </c>
      <c r="F184" s="11"/>
      <c r="G184" s="11">
        <f t="shared" si="3"/>
        <v>-6.129999999999999</v>
      </c>
    </row>
    <row r="185" spans="1:7">
      <c r="A185" s="12">
        <v>43283</v>
      </c>
      <c r="B185" s="13"/>
      <c r="C185" s="14"/>
      <c r="E185" s="12">
        <v>43283</v>
      </c>
      <c r="F185" s="11"/>
      <c r="G185" s="11">
        <f t="shared" si="3"/>
        <v>-6.129999999999999</v>
      </c>
    </row>
    <row r="186" spans="1:7">
      <c r="A186" s="8">
        <v>43284</v>
      </c>
      <c r="B186" s="9"/>
      <c r="C186" s="10"/>
      <c r="E186" s="8">
        <v>43284</v>
      </c>
      <c r="F186" s="11"/>
      <c r="G186" s="11">
        <f t="shared" si="3"/>
        <v>-6.129999999999999</v>
      </c>
    </row>
    <row r="187" spans="1:7">
      <c r="A187" s="8">
        <v>43285</v>
      </c>
      <c r="B187" s="9"/>
      <c r="C187" s="10"/>
      <c r="E187" s="8">
        <v>43285</v>
      </c>
      <c r="F187" s="11"/>
      <c r="G187" s="11">
        <f t="shared" si="3"/>
        <v>-6.129999999999999</v>
      </c>
    </row>
    <row r="188" spans="1:7">
      <c r="A188" s="8">
        <v>43286</v>
      </c>
      <c r="B188" s="9"/>
      <c r="C188" s="10"/>
      <c r="E188" s="8">
        <v>43286</v>
      </c>
      <c r="F188" s="11"/>
      <c r="G188" s="11">
        <f t="shared" si="3"/>
        <v>-6.129999999999999</v>
      </c>
    </row>
    <row r="189" spans="1:7">
      <c r="A189" s="12">
        <v>43287</v>
      </c>
      <c r="B189" s="13"/>
      <c r="C189" s="14"/>
      <c r="E189" s="12">
        <v>43287</v>
      </c>
      <c r="F189" s="11"/>
      <c r="G189" s="11">
        <f t="shared" si="3"/>
        <v>-6.129999999999999</v>
      </c>
    </row>
    <row r="190" spans="1:7">
      <c r="A190" s="12">
        <v>43288</v>
      </c>
      <c r="B190" s="13"/>
      <c r="C190" s="14"/>
      <c r="E190" s="12">
        <v>43288</v>
      </c>
      <c r="F190" s="11"/>
      <c r="G190" s="11">
        <f t="shared" si="3"/>
        <v>-6.129999999999999</v>
      </c>
    </row>
    <row r="191" spans="1:7">
      <c r="A191" s="12">
        <v>43289</v>
      </c>
      <c r="B191" s="13"/>
      <c r="C191" s="14"/>
      <c r="E191" s="12">
        <v>43289</v>
      </c>
      <c r="F191" s="11"/>
      <c r="G191" s="11">
        <f t="shared" si="3"/>
        <v>-6.129999999999999</v>
      </c>
    </row>
    <row r="192" spans="1:7">
      <c r="A192" s="12">
        <v>43290</v>
      </c>
      <c r="B192" s="13"/>
      <c r="C192" s="14"/>
      <c r="E192" s="12">
        <v>43290</v>
      </c>
      <c r="F192" s="11"/>
      <c r="G192" s="11">
        <f t="shared" si="3"/>
        <v>-6.129999999999999</v>
      </c>
    </row>
    <row r="193" spans="1:7">
      <c r="A193" s="8">
        <v>43291</v>
      </c>
      <c r="B193" s="9"/>
      <c r="C193" s="10"/>
      <c r="E193" s="8">
        <v>43291</v>
      </c>
      <c r="F193" s="11"/>
      <c r="G193" s="11">
        <f t="shared" si="3"/>
        <v>-6.129999999999999</v>
      </c>
    </row>
    <row r="194" spans="1:7">
      <c r="A194" s="8">
        <v>43292</v>
      </c>
      <c r="B194" s="9"/>
      <c r="C194" s="10"/>
      <c r="E194" s="8">
        <v>43292</v>
      </c>
      <c r="F194" s="11"/>
      <c r="G194" s="11">
        <f t="shared" si="3"/>
        <v>-6.129999999999999</v>
      </c>
    </row>
    <row r="195" spans="1:7">
      <c r="A195" s="8">
        <v>43293</v>
      </c>
      <c r="B195" s="9"/>
      <c r="C195" s="10"/>
      <c r="E195" s="8">
        <v>43293</v>
      </c>
      <c r="F195" s="11"/>
      <c r="G195" s="11">
        <f t="shared" si="3"/>
        <v>-6.129999999999999</v>
      </c>
    </row>
    <row r="196" spans="1:7">
      <c r="A196" s="12">
        <v>43294</v>
      </c>
      <c r="B196" s="13"/>
      <c r="C196" s="14"/>
      <c r="E196" s="12">
        <v>43294</v>
      </c>
      <c r="F196" s="11"/>
      <c r="G196" s="11">
        <f t="shared" si="3"/>
        <v>-6.129999999999999</v>
      </c>
    </row>
    <row r="197" spans="1:7">
      <c r="A197" s="12">
        <v>43295</v>
      </c>
      <c r="B197" s="13"/>
      <c r="C197" s="14"/>
      <c r="E197" s="12">
        <v>43295</v>
      </c>
      <c r="F197" s="11"/>
      <c r="G197" s="11">
        <f t="shared" si="3"/>
        <v>-6.129999999999999</v>
      </c>
    </row>
    <row r="198" spans="1:7">
      <c r="A198" s="12">
        <v>43296</v>
      </c>
      <c r="B198" s="13"/>
      <c r="C198" s="14"/>
      <c r="E198" s="12">
        <v>43296</v>
      </c>
      <c r="F198" s="11"/>
      <c r="G198" s="11">
        <f t="shared" si="3"/>
        <v>-6.129999999999999</v>
      </c>
    </row>
    <row r="199" spans="1:7">
      <c r="A199" s="12">
        <v>43297</v>
      </c>
      <c r="B199" s="13"/>
      <c r="C199" s="14"/>
      <c r="E199" s="12">
        <v>43297</v>
      </c>
      <c r="F199" s="11"/>
      <c r="G199" s="11">
        <f t="shared" si="3"/>
        <v>-6.129999999999999</v>
      </c>
    </row>
    <row r="200" spans="1:7">
      <c r="A200" s="8">
        <v>43298</v>
      </c>
      <c r="B200" s="9"/>
      <c r="C200" s="10"/>
      <c r="E200" s="8">
        <v>43298</v>
      </c>
      <c r="F200" s="11"/>
      <c r="G200" s="11">
        <f t="shared" si="3"/>
        <v>-6.129999999999999</v>
      </c>
    </row>
    <row r="201" spans="1:7">
      <c r="A201" s="8">
        <v>43299</v>
      </c>
      <c r="B201" s="9"/>
      <c r="C201" s="10"/>
      <c r="E201" s="8">
        <v>43299</v>
      </c>
      <c r="F201" s="11"/>
      <c r="G201" s="11">
        <f t="shared" si="3"/>
        <v>-6.129999999999999</v>
      </c>
    </row>
    <row r="202" spans="1:7">
      <c r="A202" s="8">
        <v>43300</v>
      </c>
      <c r="B202" s="9"/>
      <c r="C202" s="10"/>
      <c r="E202" s="8">
        <v>43300</v>
      </c>
      <c r="F202" s="11"/>
      <c r="G202" s="11">
        <f t="shared" si="3"/>
        <v>-6.129999999999999</v>
      </c>
    </row>
    <row r="203" spans="1:7">
      <c r="A203" s="12">
        <v>43301</v>
      </c>
      <c r="B203" s="13"/>
      <c r="C203" s="14"/>
      <c r="E203" s="12">
        <v>43301</v>
      </c>
      <c r="F203" s="11"/>
      <c r="G203" s="11">
        <f t="shared" si="3"/>
        <v>-6.129999999999999</v>
      </c>
    </row>
    <row r="204" spans="1:7">
      <c r="A204" s="12">
        <v>43302</v>
      </c>
      <c r="B204" s="13"/>
      <c r="C204" s="14"/>
      <c r="E204" s="12">
        <v>43302</v>
      </c>
      <c r="F204" s="11"/>
      <c r="G204" s="11">
        <f t="shared" si="3"/>
        <v>-6.129999999999999</v>
      </c>
    </row>
    <row r="205" spans="1:7">
      <c r="A205" s="12">
        <v>43303</v>
      </c>
      <c r="B205" s="13"/>
      <c r="C205" s="14"/>
      <c r="E205" s="12">
        <v>43303</v>
      </c>
      <c r="F205" s="11"/>
      <c r="G205" s="11">
        <f t="shared" si="3"/>
        <v>-6.129999999999999</v>
      </c>
    </row>
    <row r="206" spans="1:7">
      <c r="A206" s="12">
        <v>43304</v>
      </c>
      <c r="B206" s="13"/>
      <c r="C206" s="14"/>
      <c r="E206" s="12">
        <v>43304</v>
      </c>
      <c r="F206" s="11"/>
      <c r="G206" s="11">
        <f t="shared" si="3"/>
        <v>-6.129999999999999</v>
      </c>
    </row>
    <row r="207" spans="1:7">
      <c r="A207" s="8">
        <v>43305</v>
      </c>
      <c r="B207" s="9"/>
      <c r="C207" s="10"/>
      <c r="E207" s="8">
        <v>43305</v>
      </c>
      <c r="F207" s="11"/>
      <c r="G207" s="11">
        <f t="shared" si="3"/>
        <v>-6.129999999999999</v>
      </c>
    </row>
    <row r="208" spans="1:7">
      <c r="A208" s="8">
        <v>43306</v>
      </c>
      <c r="B208" s="9"/>
      <c r="C208" s="10"/>
      <c r="E208" s="8">
        <v>43306</v>
      </c>
      <c r="F208" s="11">
        <v>-7.4</v>
      </c>
      <c r="G208" s="11">
        <f t="shared" si="3"/>
        <v>-13.53</v>
      </c>
    </row>
    <row r="209" spans="1:9">
      <c r="A209" s="8">
        <v>43307</v>
      </c>
      <c r="B209" s="9"/>
      <c r="C209" s="10"/>
      <c r="E209" s="8">
        <v>43307</v>
      </c>
      <c r="F209" s="11"/>
      <c r="G209" s="11">
        <f t="shared" si="3"/>
        <v>-13.53</v>
      </c>
    </row>
    <row r="210" spans="1:9">
      <c r="A210" s="12">
        <v>43308</v>
      </c>
      <c r="B210" s="13"/>
      <c r="C210" s="14"/>
      <c r="E210" s="12">
        <v>43308</v>
      </c>
      <c r="F210" s="11"/>
      <c r="G210" s="11">
        <f t="shared" ref="G210:G273" si="4">G209+F210</f>
        <v>-13.53</v>
      </c>
    </row>
    <row r="211" spans="1:9">
      <c r="A211" s="12">
        <v>43309</v>
      </c>
      <c r="B211" s="13"/>
      <c r="C211" s="14"/>
      <c r="E211" s="12">
        <v>43309</v>
      </c>
      <c r="F211" s="11"/>
      <c r="G211" s="11">
        <f t="shared" si="4"/>
        <v>-13.53</v>
      </c>
    </row>
    <row r="212" spans="1:9">
      <c r="A212" s="12">
        <v>43310</v>
      </c>
      <c r="B212" s="13"/>
      <c r="C212" s="14"/>
      <c r="E212" s="12">
        <v>43310</v>
      </c>
      <c r="F212" s="11"/>
      <c r="G212" s="11">
        <f t="shared" si="4"/>
        <v>-13.53</v>
      </c>
    </row>
    <row r="213" spans="1:9">
      <c r="A213" s="12">
        <v>43311</v>
      </c>
      <c r="B213" s="13"/>
      <c r="C213" s="14"/>
      <c r="E213" s="12">
        <v>43311</v>
      </c>
      <c r="F213" s="11"/>
      <c r="G213" s="11">
        <f t="shared" si="4"/>
        <v>-13.53</v>
      </c>
      <c r="I213" t="s">
        <v>63</v>
      </c>
    </row>
    <row r="214" spans="1:9">
      <c r="A214" s="8">
        <v>43312</v>
      </c>
      <c r="B214" s="9"/>
      <c r="C214" s="10"/>
      <c r="E214" s="8">
        <v>43312</v>
      </c>
      <c r="F214" s="11"/>
      <c r="G214" s="11">
        <f t="shared" si="4"/>
        <v>-13.53</v>
      </c>
    </row>
    <row r="215" spans="1:9">
      <c r="A215" s="8">
        <v>43313</v>
      </c>
      <c r="B215" s="9"/>
      <c r="C215" s="10"/>
      <c r="E215" s="8">
        <v>43313</v>
      </c>
      <c r="F215" s="11"/>
      <c r="G215" s="11">
        <f t="shared" si="4"/>
        <v>-13.53</v>
      </c>
    </row>
    <row r="216" spans="1:9">
      <c r="A216" s="8">
        <v>43314</v>
      </c>
      <c r="B216" s="9"/>
      <c r="C216" s="10"/>
      <c r="E216" s="8">
        <v>43314</v>
      </c>
      <c r="F216" s="11"/>
      <c r="G216" s="11">
        <f t="shared" si="4"/>
        <v>-13.53</v>
      </c>
    </row>
    <row r="217" spans="1:9">
      <c r="A217" s="12">
        <v>43315</v>
      </c>
      <c r="B217" s="13"/>
      <c r="C217" s="14"/>
      <c r="E217" s="12">
        <v>43315</v>
      </c>
      <c r="F217" s="11"/>
      <c r="G217" s="11">
        <f t="shared" si="4"/>
        <v>-13.53</v>
      </c>
    </row>
    <row r="218" spans="1:9">
      <c r="A218" s="12">
        <v>43316</v>
      </c>
      <c r="B218" s="13"/>
      <c r="C218" s="14"/>
      <c r="E218" s="12">
        <v>43316</v>
      </c>
      <c r="F218" s="11"/>
      <c r="G218" s="11">
        <f t="shared" si="4"/>
        <v>-13.53</v>
      </c>
    </row>
    <row r="219" spans="1:9">
      <c r="A219" s="12">
        <v>43317</v>
      </c>
      <c r="B219" s="13"/>
      <c r="C219" s="14"/>
      <c r="E219" s="12">
        <v>43317</v>
      </c>
      <c r="F219" s="11"/>
      <c r="G219" s="11">
        <f t="shared" si="4"/>
        <v>-13.53</v>
      </c>
    </row>
    <row r="220" spans="1:9">
      <c r="A220" s="12">
        <v>43318</v>
      </c>
      <c r="B220" s="13"/>
      <c r="C220" s="14"/>
      <c r="E220" s="12">
        <v>43318</v>
      </c>
      <c r="F220" s="11"/>
      <c r="G220" s="11">
        <f t="shared" si="4"/>
        <v>-13.53</v>
      </c>
    </row>
    <row r="221" spans="1:9">
      <c r="A221" s="8">
        <v>43319</v>
      </c>
      <c r="B221" s="9"/>
      <c r="C221" s="10"/>
      <c r="E221" s="8">
        <v>43319</v>
      </c>
      <c r="F221" s="11"/>
      <c r="G221" s="11">
        <f t="shared" si="4"/>
        <v>-13.53</v>
      </c>
    </row>
    <row r="222" spans="1:9">
      <c r="A222" s="8">
        <v>43320</v>
      </c>
      <c r="B222" s="9"/>
      <c r="C222" s="10"/>
      <c r="E222" s="8">
        <v>43320</v>
      </c>
      <c r="F222" s="11"/>
      <c r="G222" s="11">
        <f t="shared" si="4"/>
        <v>-13.53</v>
      </c>
    </row>
    <row r="223" spans="1:9">
      <c r="A223" s="8">
        <v>43321</v>
      </c>
      <c r="B223" s="9"/>
      <c r="C223" s="10"/>
      <c r="E223" s="8">
        <v>43321</v>
      </c>
      <c r="F223" s="11"/>
      <c r="G223" s="11">
        <f t="shared" si="4"/>
        <v>-13.53</v>
      </c>
    </row>
    <row r="224" spans="1:9">
      <c r="A224" s="12">
        <v>43322</v>
      </c>
      <c r="B224" s="13"/>
      <c r="C224" s="47"/>
      <c r="E224" s="12">
        <v>43322</v>
      </c>
      <c r="F224" s="11"/>
      <c r="G224" s="11">
        <f t="shared" si="4"/>
        <v>-13.53</v>
      </c>
    </row>
    <row r="225" spans="1:7">
      <c r="A225" s="12">
        <v>43323</v>
      </c>
      <c r="B225" s="13"/>
      <c r="C225" s="14"/>
      <c r="E225" s="12">
        <v>43323</v>
      </c>
      <c r="F225" s="11"/>
      <c r="G225" s="11">
        <f t="shared" si="4"/>
        <v>-13.53</v>
      </c>
    </row>
    <row r="226" spans="1:7">
      <c r="A226" s="12">
        <v>43324</v>
      </c>
      <c r="B226" s="13"/>
      <c r="C226" s="14"/>
      <c r="E226" s="12">
        <v>43324</v>
      </c>
      <c r="F226" s="11"/>
      <c r="G226" s="11">
        <f t="shared" si="4"/>
        <v>-13.53</v>
      </c>
    </row>
    <row r="227" spans="1:7">
      <c r="A227" s="12">
        <v>43325</v>
      </c>
      <c r="B227" s="13"/>
      <c r="C227" s="14"/>
      <c r="E227" s="12">
        <v>43325</v>
      </c>
      <c r="F227" s="11"/>
      <c r="G227" s="11">
        <f t="shared" si="4"/>
        <v>-13.53</v>
      </c>
    </row>
    <row r="228" spans="1:7">
      <c r="A228" s="8">
        <v>43326</v>
      </c>
      <c r="B228" s="9"/>
      <c r="C228" s="10"/>
      <c r="E228" s="8">
        <v>43326</v>
      </c>
      <c r="F228" s="11"/>
      <c r="G228" s="11">
        <f t="shared" si="4"/>
        <v>-13.53</v>
      </c>
    </row>
    <row r="229" spans="1:7">
      <c r="A229" s="8">
        <v>43327</v>
      </c>
      <c r="B229" s="9"/>
      <c r="C229" s="10"/>
      <c r="E229" s="8">
        <v>43327</v>
      </c>
      <c r="F229" s="11"/>
      <c r="G229" s="11">
        <f t="shared" si="4"/>
        <v>-13.53</v>
      </c>
    </row>
    <row r="230" spans="1:7">
      <c r="A230" s="8">
        <v>43328</v>
      </c>
      <c r="B230" s="9"/>
      <c r="C230" s="10"/>
      <c r="E230" s="8">
        <v>43328</v>
      </c>
      <c r="F230" s="11"/>
      <c r="G230" s="11">
        <f t="shared" si="4"/>
        <v>-13.53</v>
      </c>
    </row>
    <row r="231" spans="1:7">
      <c r="A231" s="12">
        <v>43329</v>
      </c>
      <c r="B231" s="13"/>
      <c r="C231" s="14"/>
      <c r="E231" s="12">
        <v>43329</v>
      </c>
      <c r="F231" s="11"/>
      <c r="G231" s="11">
        <f t="shared" si="4"/>
        <v>-13.53</v>
      </c>
    </row>
    <row r="232" spans="1:7">
      <c r="A232" s="12">
        <v>43330</v>
      </c>
      <c r="B232" s="13"/>
      <c r="C232" s="14"/>
      <c r="E232" s="12">
        <v>43330</v>
      </c>
      <c r="F232" s="11"/>
      <c r="G232" s="11">
        <f t="shared" si="4"/>
        <v>-13.53</v>
      </c>
    </row>
    <row r="233" spans="1:7">
      <c r="A233" s="12">
        <v>43331</v>
      </c>
      <c r="B233" s="13"/>
      <c r="C233" s="14"/>
      <c r="E233" s="12">
        <v>43331</v>
      </c>
      <c r="F233" s="11"/>
      <c r="G233" s="11">
        <f t="shared" si="4"/>
        <v>-13.53</v>
      </c>
    </row>
    <row r="234" spans="1:7">
      <c r="A234" s="12">
        <v>43332</v>
      </c>
      <c r="B234" s="13"/>
      <c r="C234" s="14"/>
      <c r="E234" s="12">
        <v>43332</v>
      </c>
      <c r="F234" s="11"/>
      <c r="G234" s="11">
        <f t="shared" si="4"/>
        <v>-13.53</v>
      </c>
    </row>
    <row r="235" spans="1:7">
      <c r="A235" s="8">
        <v>43333</v>
      </c>
      <c r="B235" s="9"/>
      <c r="C235" s="10"/>
      <c r="E235" s="8">
        <v>43333</v>
      </c>
      <c r="F235" s="11"/>
      <c r="G235" s="11">
        <f t="shared" si="4"/>
        <v>-13.53</v>
      </c>
    </row>
    <row r="236" spans="1:7">
      <c r="A236" s="8">
        <v>43334</v>
      </c>
      <c r="B236" s="9"/>
      <c r="C236" s="10"/>
      <c r="E236" s="8">
        <v>43334</v>
      </c>
      <c r="F236" s="11"/>
      <c r="G236" s="11">
        <f t="shared" si="4"/>
        <v>-13.53</v>
      </c>
    </row>
    <row r="237" spans="1:7">
      <c r="A237" s="8">
        <v>43335</v>
      </c>
      <c r="B237" s="9"/>
      <c r="C237" s="10"/>
      <c r="E237" s="8">
        <v>43335</v>
      </c>
      <c r="F237" s="11"/>
      <c r="G237" s="11">
        <f t="shared" si="4"/>
        <v>-13.53</v>
      </c>
    </row>
    <row r="238" spans="1:7">
      <c r="A238" s="12">
        <v>43336</v>
      </c>
      <c r="B238" s="13"/>
      <c r="C238" s="14"/>
      <c r="E238" s="12">
        <v>43336</v>
      </c>
      <c r="F238" s="11"/>
      <c r="G238" s="11">
        <f t="shared" si="4"/>
        <v>-13.53</v>
      </c>
    </row>
    <row r="239" spans="1:7">
      <c r="A239" s="12">
        <v>43337</v>
      </c>
      <c r="B239" s="13"/>
      <c r="C239" s="14"/>
      <c r="E239" s="12">
        <v>43337</v>
      </c>
      <c r="F239" s="11"/>
      <c r="G239" s="11">
        <f t="shared" si="4"/>
        <v>-13.53</v>
      </c>
    </row>
    <row r="240" spans="1:7">
      <c r="A240" s="12">
        <v>43338</v>
      </c>
      <c r="B240" s="13"/>
      <c r="C240" s="14"/>
      <c r="E240" s="12">
        <v>43338</v>
      </c>
      <c r="F240" s="11"/>
      <c r="G240" s="11">
        <f t="shared" si="4"/>
        <v>-13.53</v>
      </c>
    </row>
    <row r="241" spans="1:7">
      <c r="A241" s="12">
        <v>43339</v>
      </c>
      <c r="B241" s="13"/>
      <c r="C241" s="14"/>
      <c r="E241" s="12">
        <v>43339</v>
      </c>
      <c r="F241" s="11"/>
      <c r="G241" s="11">
        <f t="shared" si="4"/>
        <v>-13.53</v>
      </c>
    </row>
    <row r="242" spans="1:7">
      <c r="A242" s="8">
        <v>43340</v>
      </c>
      <c r="B242" s="9"/>
      <c r="C242" s="10" t="s">
        <v>0</v>
      </c>
      <c r="E242" s="8">
        <v>43340</v>
      </c>
      <c r="F242" s="11"/>
      <c r="G242" s="11">
        <f t="shared" si="4"/>
        <v>-13.53</v>
      </c>
    </row>
    <row r="243" spans="1:7" ht="17">
      <c r="A243" s="8">
        <v>43341</v>
      </c>
      <c r="B243" s="9" t="s">
        <v>1</v>
      </c>
      <c r="C243" s="10" t="s">
        <v>64</v>
      </c>
      <c r="E243" s="8">
        <v>43341</v>
      </c>
      <c r="F243" s="11"/>
      <c r="G243" s="11">
        <f t="shared" si="4"/>
        <v>-13.53</v>
      </c>
    </row>
    <row r="244" spans="1:7" ht="17">
      <c r="A244" s="8">
        <v>43342</v>
      </c>
      <c r="B244" s="9" t="s">
        <v>1</v>
      </c>
      <c r="C244" s="10" t="s">
        <v>64</v>
      </c>
      <c r="E244" s="8">
        <v>43342</v>
      </c>
      <c r="F244" s="11"/>
      <c r="G244" s="11">
        <f t="shared" si="4"/>
        <v>-13.53</v>
      </c>
    </row>
    <row r="245" spans="1:7">
      <c r="A245" s="12">
        <v>43343</v>
      </c>
      <c r="B245" s="13"/>
      <c r="C245" s="14"/>
      <c r="E245" s="12">
        <v>43343</v>
      </c>
      <c r="F245" s="11"/>
      <c r="G245" s="11">
        <v>0</v>
      </c>
    </row>
    <row r="246" spans="1:7">
      <c r="A246" s="12">
        <v>43344</v>
      </c>
      <c r="B246" s="13"/>
      <c r="C246" s="14"/>
      <c r="E246" s="12">
        <v>43344</v>
      </c>
      <c r="F246" s="11"/>
      <c r="G246" s="11">
        <f t="shared" si="4"/>
        <v>0</v>
      </c>
    </row>
    <row r="247" spans="1:7">
      <c r="A247" s="12">
        <v>43345</v>
      </c>
      <c r="B247" s="13"/>
      <c r="C247" s="14"/>
      <c r="E247" s="12">
        <v>43345</v>
      </c>
      <c r="F247" s="11"/>
      <c r="G247" s="11">
        <f t="shared" si="4"/>
        <v>0</v>
      </c>
    </row>
    <row r="248" spans="1:7">
      <c r="A248" s="12">
        <v>43346</v>
      </c>
      <c r="B248" s="13"/>
      <c r="C248" s="14"/>
      <c r="E248" s="12">
        <v>43346</v>
      </c>
      <c r="F248" s="11"/>
      <c r="G248" s="11">
        <f t="shared" si="4"/>
        <v>0</v>
      </c>
    </row>
    <row r="249" spans="1:7">
      <c r="A249" s="8">
        <v>43347</v>
      </c>
      <c r="B249" s="9"/>
      <c r="C249" s="10"/>
      <c r="E249" s="8">
        <v>43347</v>
      </c>
      <c r="F249" s="11"/>
      <c r="G249" s="11">
        <f t="shared" si="4"/>
        <v>0</v>
      </c>
    </row>
    <row r="250" spans="1:7">
      <c r="A250" s="8">
        <v>43348</v>
      </c>
      <c r="B250" s="9"/>
      <c r="C250" s="10"/>
      <c r="E250" s="8">
        <v>43348</v>
      </c>
      <c r="F250" s="11"/>
      <c r="G250" s="11">
        <f t="shared" si="4"/>
        <v>0</v>
      </c>
    </row>
    <row r="251" spans="1:7">
      <c r="A251" s="8">
        <v>43349</v>
      </c>
      <c r="B251" s="9"/>
      <c r="C251" s="10"/>
      <c r="E251" s="8">
        <v>43349</v>
      </c>
      <c r="F251" s="11"/>
      <c r="G251" s="11">
        <f t="shared" si="4"/>
        <v>0</v>
      </c>
    </row>
    <row r="252" spans="1:7">
      <c r="A252" s="12">
        <v>43350</v>
      </c>
      <c r="B252" s="13"/>
      <c r="C252" s="14"/>
      <c r="E252" s="12">
        <v>43350</v>
      </c>
      <c r="F252" s="11"/>
      <c r="G252" s="11">
        <f t="shared" si="4"/>
        <v>0</v>
      </c>
    </row>
    <row r="253" spans="1:7">
      <c r="A253" s="12">
        <v>43351</v>
      </c>
      <c r="B253" s="13"/>
      <c r="C253" s="14"/>
      <c r="E253" s="12">
        <v>43351</v>
      </c>
      <c r="F253" s="11"/>
      <c r="G253" s="11">
        <f t="shared" si="4"/>
        <v>0</v>
      </c>
    </row>
    <row r="254" spans="1:7">
      <c r="A254" s="12">
        <v>43352</v>
      </c>
      <c r="B254" s="13"/>
      <c r="C254" s="14"/>
      <c r="E254" s="12">
        <v>43352</v>
      </c>
      <c r="F254" s="11"/>
      <c r="G254" s="11">
        <f t="shared" si="4"/>
        <v>0</v>
      </c>
    </row>
    <row r="255" spans="1:7">
      <c r="A255" s="12">
        <v>43353</v>
      </c>
      <c r="B255" s="13"/>
      <c r="C255" s="14"/>
      <c r="E255" s="12">
        <v>43353</v>
      </c>
      <c r="F255" s="11"/>
      <c r="G255" s="11">
        <f t="shared" si="4"/>
        <v>0</v>
      </c>
    </row>
    <row r="256" spans="1:7">
      <c r="A256" s="8">
        <v>43354</v>
      </c>
      <c r="B256" s="9"/>
      <c r="C256" s="10"/>
      <c r="E256" s="8">
        <v>43354</v>
      </c>
      <c r="F256" s="11"/>
      <c r="G256" s="11">
        <f t="shared" si="4"/>
        <v>0</v>
      </c>
    </row>
    <row r="257" spans="1:7">
      <c r="A257" s="8">
        <v>43355</v>
      </c>
      <c r="B257" s="9"/>
      <c r="C257" s="10"/>
      <c r="E257" s="8">
        <v>43355</v>
      </c>
      <c r="F257" s="11"/>
      <c r="G257" s="11">
        <f t="shared" si="4"/>
        <v>0</v>
      </c>
    </row>
    <row r="258" spans="1:7">
      <c r="A258" s="8">
        <v>43356</v>
      </c>
      <c r="B258" s="9"/>
      <c r="C258" s="10"/>
      <c r="E258" s="8">
        <v>43356</v>
      </c>
      <c r="F258" s="11"/>
      <c r="G258" s="11">
        <f t="shared" si="4"/>
        <v>0</v>
      </c>
    </row>
    <row r="259" spans="1:7">
      <c r="A259" s="12">
        <v>43357</v>
      </c>
      <c r="B259" s="13"/>
      <c r="C259" s="14"/>
      <c r="E259" s="12">
        <v>43357</v>
      </c>
      <c r="F259" s="11"/>
      <c r="G259" s="11">
        <f t="shared" si="4"/>
        <v>0</v>
      </c>
    </row>
    <row r="260" spans="1:7">
      <c r="A260" s="12">
        <v>43358</v>
      </c>
      <c r="B260" s="13"/>
      <c r="C260" s="14"/>
      <c r="E260" s="12">
        <v>43358</v>
      </c>
      <c r="F260" s="11"/>
      <c r="G260" s="11">
        <f t="shared" si="4"/>
        <v>0</v>
      </c>
    </row>
    <row r="261" spans="1:7">
      <c r="A261" s="12">
        <v>43359</v>
      </c>
      <c r="B261" s="13"/>
      <c r="C261" s="14"/>
      <c r="E261" s="12">
        <v>43359</v>
      </c>
      <c r="F261" s="11"/>
      <c r="G261" s="11">
        <f t="shared" si="4"/>
        <v>0</v>
      </c>
    </row>
    <row r="262" spans="1:7">
      <c r="A262" s="12">
        <v>43360</v>
      </c>
      <c r="B262" s="13"/>
      <c r="C262" s="14"/>
      <c r="E262" s="12">
        <v>43360</v>
      </c>
      <c r="F262" s="11"/>
      <c r="G262" s="11">
        <f t="shared" si="4"/>
        <v>0</v>
      </c>
    </row>
    <row r="263" spans="1:7">
      <c r="A263" s="8">
        <v>43361</v>
      </c>
      <c r="B263" s="9"/>
      <c r="C263" s="10"/>
      <c r="E263" s="8">
        <v>43361</v>
      </c>
      <c r="F263" s="11"/>
      <c r="G263" s="11">
        <f t="shared" si="4"/>
        <v>0</v>
      </c>
    </row>
    <row r="264" spans="1:7">
      <c r="A264" s="8">
        <v>43362</v>
      </c>
      <c r="B264" s="9"/>
      <c r="C264" s="10"/>
      <c r="E264" s="8">
        <v>43362</v>
      </c>
      <c r="F264" s="11"/>
      <c r="G264" s="11">
        <f t="shared" si="4"/>
        <v>0</v>
      </c>
    </row>
    <row r="265" spans="1:7">
      <c r="A265" s="8">
        <v>43363</v>
      </c>
      <c r="B265" s="9"/>
      <c r="C265" s="10"/>
      <c r="E265" s="8">
        <v>43363</v>
      </c>
      <c r="F265" s="11"/>
      <c r="G265" s="11">
        <f t="shared" si="4"/>
        <v>0</v>
      </c>
    </row>
    <row r="266" spans="1:7">
      <c r="A266" s="12">
        <v>43364</v>
      </c>
      <c r="B266" s="13"/>
      <c r="C266" s="14"/>
      <c r="E266" s="12">
        <v>43364</v>
      </c>
      <c r="F266" s="11"/>
      <c r="G266" s="11">
        <f t="shared" si="4"/>
        <v>0</v>
      </c>
    </row>
    <row r="267" spans="1:7">
      <c r="A267" s="12">
        <v>43365</v>
      </c>
      <c r="B267" s="13"/>
      <c r="C267" s="14"/>
      <c r="E267" s="12">
        <v>43365</v>
      </c>
      <c r="F267" s="11"/>
      <c r="G267" s="11">
        <f t="shared" si="4"/>
        <v>0</v>
      </c>
    </row>
    <row r="268" spans="1:7">
      <c r="A268" s="12">
        <v>43366</v>
      </c>
      <c r="B268" s="13"/>
      <c r="C268" s="14"/>
      <c r="E268" s="12">
        <v>43366</v>
      </c>
      <c r="F268" s="11"/>
      <c r="G268" s="11">
        <f t="shared" si="4"/>
        <v>0</v>
      </c>
    </row>
    <row r="269" spans="1:7">
      <c r="A269" s="12">
        <v>43367</v>
      </c>
      <c r="B269" s="13"/>
      <c r="C269" s="14"/>
      <c r="E269" s="12">
        <v>43367</v>
      </c>
      <c r="F269" s="11"/>
      <c r="G269" s="11">
        <f t="shared" si="4"/>
        <v>0</v>
      </c>
    </row>
    <row r="270" spans="1:7">
      <c r="A270" s="8">
        <v>43368</v>
      </c>
      <c r="B270" s="9"/>
      <c r="C270" s="10"/>
      <c r="E270" s="8">
        <v>43368</v>
      </c>
      <c r="F270" s="11"/>
      <c r="G270" s="11">
        <f t="shared" si="4"/>
        <v>0</v>
      </c>
    </row>
    <row r="271" spans="1:7">
      <c r="A271" s="8">
        <v>43369</v>
      </c>
      <c r="B271" s="9"/>
      <c r="C271" s="10"/>
      <c r="E271" s="8">
        <v>43369</v>
      </c>
      <c r="F271" s="11"/>
      <c r="G271" s="11">
        <f t="shared" si="4"/>
        <v>0</v>
      </c>
    </row>
    <row r="272" spans="1:7">
      <c r="A272" s="8">
        <v>43370</v>
      </c>
      <c r="B272" s="9"/>
      <c r="C272" s="10"/>
      <c r="E272" s="8">
        <v>43370</v>
      </c>
      <c r="F272" s="11"/>
      <c r="G272" s="11">
        <f t="shared" si="4"/>
        <v>0</v>
      </c>
    </row>
    <row r="273" spans="1:7">
      <c r="A273" s="12">
        <v>43371</v>
      </c>
      <c r="B273" s="13"/>
      <c r="C273" s="14"/>
      <c r="E273" s="12">
        <v>43371</v>
      </c>
      <c r="F273" s="11"/>
      <c r="G273" s="11">
        <f t="shared" si="4"/>
        <v>0</v>
      </c>
    </row>
    <row r="274" spans="1:7">
      <c r="A274" s="12">
        <v>43372</v>
      </c>
      <c r="B274" s="13"/>
      <c r="C274" s="14"/>
      <c r="E274" s="12">
        <v>43372</v>
      </c>
      <c r="F274" s="11"/>
      <c r="G274" s="11">
        <f t="shared" ref="G274:G337" si="5">G273+F274</f>
        <v>0</v>
      </c>
    </row>
    <row r="275" spans="1:7">
      <c r="A275" s="12">
        <v>43373</v>
      </c>
      <c r="B275" s="13"/>
      <c r="C275" s="14"/>
      <c r="E275" s="12">
        <v>43373</v>
      </c>
      <c r="F275" s="11"/>
      <c r="G275" s="11">
        <f t="shared" si="5"/>
        <v>0</v>
      </c>
    </row>
    <row r="276" spans="1:7">
      <c r="A276" s="12">
        <v>43374</v>
      </c>
      <c r="B276" s="13"/>
      <c r="C276" s="14"/>
      <c r="E276" s="12">
        <v>43374</v>
      </c>
      <c r="F276" s="11"/>
      <c r="G276" s="11">
        <f t="shared" si="5"/>
        <v>0</v>
      </c>
    </row>
    <row r="277" spans="1:7" ht="17">
      <c r="A277" s="8">
        <v>43375</v>
      </c>
      <c r="B277" s="9" t="s">
        <v>39</v>
      </c>
      <c r="C277" s="10"/>
      <c r="E277" s="8">
        <v>43375</v>
      </c>
      <c r="F277" s="11"/>
      <c r="G277" s="11">
        <f t="shared" si="5"/>
        <v>0</v>
      </c>
    </row>
    <row r="278" spans="1:7" ht="17">
      <c r="A278" s="8">
        <v>43376</v>
      </c>
      <c r="B278" s="9" t="s">
        <v>39</v>
      </c>
      <c r="C278" s="10"/>
      <c r="E278" s="8">
        <v>43376</v>
      </c>
      <c r="F278" s="11"/>
      <c r="G278" s="11">
        <f t="shared" si="5"/>
        <v>0</v>
      </c>
    </row>
    <row r="279" spans="1:7" ht="17">
      <c r="A279" s="8">
        <v>43377</v>
      </c>
      <c r="B279" s="9" t="s">
        <v>3</v>
      </c>
      <c r="C279" s="10"/>
      <c r="E279" s="8">
        <v>43377</v>
      </c>
      <c r="F279" s="11"/>
      <c r="G279" s="11">
        <f t="shared" si="5"/>
        <v>0</v>
      </c>
    </row>
    <row r="280" spans="1:7">
      <c r="A280" s="12">
        <v>43378</v>
      </c>
      <c r="B280" s="13"/>
      <c r="C280" s="14"/>
      <c r="E280" s="12">
        <v>43378</v>
      </c>
      <c r="F280" s="11"/>
      <c r="G280" s="11">
        <f t="shared" si="5"/>
        <v>0</v>
      </c>
    </row>
    <row r="281" spans="1:7">
      <c r="A281" s="12">
        <v>43379</v>
      </c>
      <c r="B281" s="13"/>
      <c r="C281" s="14"/>
      <c r="E281" s="12">
        <v>43379</v>
      </c>
      <c r="F281" s="11"/>
      <c r="G281" s="11">
        <f t="shared" si="5"/>
        <v>0</v>
      </c>
    </row>
    <row r="282" spans="1:7">
      <c r="A282" s="12">
        <v>43380</v>
      </c>
      <c r="B282" s="13"/>
      <c r="C282" s="14"/>
      <c r="E282" s="12">
        <v>43380</v>
      </c>
      <c r="F282" s="11"/>
      <c r="G282" s="11">
        <f t="shared" si="5"/>
        <v>0</v>
      </c>
    </row>
    <row r="283" spans="1:7">
      <c r="A283" s="12">
        <v>43381</v>
      </c>
      <c r="B283" s="13"/>
      <c r="C283" s="14"/>
      <c r="E283" s="12">
        <v>43381</v>
      </c>
      <c r="F283" s="11"/>
      <c r="G283" s="11">
        <f t="shared" si="5"/>
        <v>0</v>
      </c>
    </row>
    <row r="284" spans="1:7" ht="17">
      <c r="A284" s="8">
        <v>43382</v>
      </c>
      <c r="B284" s="9" t="s">
        <v>39</v>
      </c>
      <c r="C284" s="10"/>
      <c r="E284" s="8">
        <v>43382</v>
      </c>
      <c r="F284" s="11"/>
      <c r="G284" s="11">
        <f t="shared" si="5"/>
        <v>0</v>
      </c>
    </row>
    <row r="285" spans="1:7" ht="17">
      <c r="A285" s="8">
        <v>43383</v>
      </c>
      <c r="B285" s="9" t="s">
        <v>39</v>
      </c>
      <c r="C285" s="10"/>
      <c r="E285" s="8">
        <v>43383</v>
      </c>
      <c r="F285" s="11"/>
      <c r="G285" s="11">
        <f t="shared" si="5"/>
        <v>0</v>
      </c>
    </row>
    <row r="286" spans="1:7" ht="17">
      <c r="A286" s="8">
        <v>43384</v>
      </c>
      <c r="B286" s="9" t="s">
        <v>3</v>
      </c>
      <c r="C286" s="10"/>
      <c r="E286" s="8">
        <v>43384</v>
      </c>
      <c r="F286" s="11"/>
      <c r="G286" s="11">
        <f t="shared" si="5"/>
        <v>0</v>
      </c>
    </row>
    <row r="287" spans="1:7">
      <c r="A287" s="12">
        <v>43385</v>
      </c>
      <c r="B287" s="13"/>
      <c r="C287" s="14"/>
      <c r="E287" s="12">
        <v>43385</v>
      </c>
      <c r="F287" s="11"/>
      <c r="G287" s="11">
        <f t="shared" si="5"/>
        <v>0</v>
      </c>
    </row>
    <row r="288" spans="1:7">
      <c r="A288" s="12">
        <v>43386</v>
      </c>
      <c r="B288" s="13"/>
      <c r="C288" s="14"/>
      <c r="E288" s="12">
        <v>43386</v>
      </c>
      <c r="F288" s="11"/>
      <c r="G288" s="11">
        <f t="shared" si="5"/>
        <v>0</v>
      </c>
    </row>
    <row r="289" spans="1:7">
      <c r="A289" s="12">
        <v>43387</v>
      </c>
      <c r="B289" s="13"/>
      <c r="C289" s="14"/>
      <c r="E289" s="12">
        <v>43387</v>
      </c>
      <c r="F289" s="11"/>
      <c r="G289" s="11">
        <f t="shared" si="5"/>
        <v>0</v>
      </c>
    </row>
    <row r="290" spans="1:7">
      <c r="A290" s="12">
        <v>43388</v>
      </c>
      <c r="B290" s="13"/>
      <c r="C290" s="14"/>
      <c r="E290" s="12">
        <v>43388</v>
      </c>
      <c r="F290" s="11"/>
      <c r="G290" s="11">
        <f t="shared" si="5"/>
        <v>0</v>
      </c>
    </row>
    <row r="291" spans="1:7" ht="17">
      <c r="A291" s="8">
        <v>43389</v>
      </c>
      <c r="B291" s="9" t="s">
        <v>39</v>
      </c>
      <c r="C291" s="10"/>
      <c r="E291" s="8">
        <v>43389</v>
      </c>
      <c r="F291" s="11"/>
      <c r="G291" s="11">
        <f t="shared" si="5"/>
        <v>0</v>
      </c>
    </row>
    <row r="292" spans="1:7" ht="17">
      <c r="A292" s="8">
        <v>43390</v>
      </c>
      <c r="B292" s="9" t="s">
        <v>39</v>
      </c>
      <c r="C292" s="10"/>
      <c r="E292" s="8">
        <v>43390</v>
      </c>
      <c r="F292" s="11"/>
      <c r="G292" s="11">
        <f t="shared" si="5"/>
        <v>0</v>
      </c>
    </row>
    <row r="293" spans="1:7" ht="17">
      <c r="A293" s="8">
        <v>43391</v>
      </c>
      <c r="B293" s="9" t="s">
        <v>3</v>
      </c>
      <c r="C293" s="10"/>
      <c r="E293" s="8">
        <v>43391</v>
      </c>
      <c r="F293" s="11"/>
      <c r="G293" s="11">
        <f t="shared" si="5"/>
        <v>0</v>
      </c>
    </row>
    <row r="294" spans="1:7">
      <c r="A294" s="12">
        <v>43392</v>
      </c>
      <c r="B294" s="13"/>
      <c r="C294" s="14"/>
      <c r="E294" s="12">
        <v>43392</v>
      </c>
      <c r="F294" s="11"/>
      <c r="G294" s="11">
        <f t="shared" si="5"/>
        <v>0</v>
      </c>
    </row>
    <row r="295" spans="1:7">
      <c r="A295" s="12">
        <v>43393</v>
      </c>
      <c r="B295" s="13"/>
      <c r="C295" s="14"/>
      <c r="E295" s="12">
        <v>43393</v>
      </c>
      <c r="F295" s="11"/>
      <c r="G295" s="11">
        <f t="shared" si="5"/>
        <v>0</v>
      </c>
    </row>
    <row r="296" spans="1:7">
      <c r="A296" s="12">
        <v>43394</v>
      </c>
      <c r="B296" s="13"/>
      <c r="C296" s="14"/>
      <c r="E296" s="12">
        <v>43394</v>
      </c>
      <c r="F296" s="11"/>
      <c r="G296" s="11">
        <f t="shared" si="5"/>
        <v>0</v>
      </c>
    </row>
    <row r="297" spans="1:7">
      <c r="A297" s="12">
        <v>43395</v>
      </c>
      <c r="B297" s="13"/>
      <c r="C297" s="14"/>
      <c r="E297" s="12">
        <v>43395</v>
      </c>
      <c r="F297" s="11"/>
      <c r="G297" s="11">
        <f t="shared" si="5"/>
        <v>0</v>
      </c>
    </row>
    <row r="298" spans="1:7" ht="17">
      <c r="A298" s="8">
        <v>43396</v>
      </c>
      <c r="B298" s="9" t="s">
        <v>39</v>
      </c>
      <c r="C298" s="10"/>
      <c r="E298" s="8">
        <v>43396</v>
      </c>
      <c r="F298" s="11"/>
      <c r="G298" s="11">
        <f t="shared" si="5"/>
        <v>0</v>
      </c>
    </row>
    <row r="299" spans="1:7" ht="17">
      <c r="A299" s="8">
        <v>43397</v>
      </c>
      <c r="B299" s="9" t="s">
        <v>39</v>
      </c>
      <c r="C299" s="10"/>
      <c r="E299" s="8">
        <v>43397</v>
      </c>
      <c r="F299" s="11"/>
      <c r="G299" s="11">
        <f t="shared" si="5"/>
        <v>0</v>
      </c>
    </row>
    <row r="300" spans="1:7" ht="17">
      <c r="A300" s="8">
        <v>43398</v>
      </c>
      <c r="B300" s="9" t="s">
        <v>3</v>
      </c>
      <c r="C300" s="10"/>
      <c r="E300" s="8">
        <v>43398</v>
      </c>
      <c r="F300" s="11"/>
      <c r="G300" s="11">
        <f t="shared" si="5"/>
        <v>0</v>
      </c>
    </row>
    <row r="301" spans="1:7">
      <c r="A301" s="12">
        <v>43399</v>
      </c>
      <c r="B301" s="13"/>
      <c r="C301" s="14"/>
      <c r="E301" s="12">
        <v>43399</v>
      </c>
      <c r="F301" s="11"/>
      <c r="G301" s="11">
        <f t="shared" si="5"/>
        <v>0</v>
      </c>
    </row>
    <row r="302" spans="1:7">
      <c r="A302" s="12">
        <v>43400</v>
      </c>
      <c r="B302" s="13"/>
      <c r="C302" s="14"/>
      <c r="E302" s="12">
        <v>43400</v>
      </c>
      <c r="F302" s="11"/>
      <c r="G302" s="11">
        <f t="shared" si="5"/>
        <v>0</v>
      </c>
    </row>
    <row r="303" spans="1:7">
      <c r="A303" s="12">
        <v>43401</v>
      </c>
      <c r="B303" s="13"/>
      <c r="C303" s="14"/>
      <c r="E303" s="12">
        <v>43401</v>
      </c>
      <c r="F303" s="11"/>
      <c r="G303" s="11">
        <f t="shared" si="5"/>
        <v>0</v>
      </c>
    </row>
    <row r="304" spans="1:7">
      <c r="A304" s="12">
        <v>43402</v>
      </c>
      <c r="B304" s="13"/>
      <c r="C304" s="14"/>
      <c r="E304" s="12">
        <v>43402</v>
      </c>
      <c r="F304" s="11"/>
      <c r="G304" s="11">
        <f t="shared" si="5"/>
        <v>0</v>
      </c>
    </row>
    <row r="305" spans="1:7" ht="17">
      <c r="A305" s="8">
        <v>43403</v>
      </c>
      <c r="B305" s="9" t="s">
        <v>39</v>
      </c>
      <c r="C305" s="10"/>
      <c r="E305" s="8">
        <v>43403</v>
      </c>
      <c r="F305" s="11"/>
      <c r="G305" s="11">
        <f t="shared" si="5"/>
        <v>0</v>
      </c>
    </row>
    <row r="306" spans="1:7" ht="17">
      <c r="A306" s="8">
        <v>43404</v>
      </c>
      <c r="B306" s="9" t="s">
        <v>39</v>
      </c>
      <c r="C306" s="10"/>
      <c r="E306" s="8">
        <v>43404</v>
      </c>
      <c r="F306" s="11"/>
      <c r="G306" s="11">
        <f t="shared" si="5"/>
        <v>0</v>
      </c>
    </row>
    <row r="307" spans="1:7" ht="17">
      <c r="A307" s="8">
        <v>43405</v>
      </c>
      <c r="B307" s="9" t="s">
        <v>3</v>
      </c>
      <c r="C307" s="10"/>
      <c r="E307" s="8">
        <v>43405</v>
      </c>
      <c r="F307" s="11"/>
      <c r="G307" s="11">
        <f t="shared" si="5"/>
        <v>0</v>
      </c>
    </row>
    <row r="308" spans="1:7">
      <c r="A308" s="12">
        <v>43406</v>
      </c>
      <c r="B308" s="13"/>
      <c r="C308" s="14"/>
      <c r="E308" s="12">
        <v>43406</v>
      </c>
      <c r="F308" s="11"/>
      <c r="G308" s="11">
        <f t="shared" si="5"/>
        <v>0</v>
      </c>
    </row>
    <row r="309" spans="1:7">
      <c r="A309" s="12">
        <v>43407</v>
      </c>
      <c r="B309" s="13"/>
      <c r="C309" s="14"/>
      <c r="E309" s="12">
        <v>43407</v>
      </c>
      <c r="F309" s="11"/>
      <c r="G309" s="11">
        <f t="shared" si="5"/>
        <v>0</v>
      </c>
    </row>
    <row r="310" spans="1:7">
      <c r="A310" s="12">
        <v>43408</v>
      </c>
      <c r="B310" s="13"/>
      <c r="C310" s="14"/>
      <c r="E310" s="12">
        <v>43408</v>
      </c>
      <c r="F310" s="11"/>
      <c r="G310" s="11">
        <f t="shared" si="5"/>
        <v>0</v>
      </c>
    </row>
    <row r="311" spans="1:7">
      <c r="A311" s="12">
        <v>43409</v>
      </c>
      <c r="B311" s="13"/>
      <c r="C311" s="14"/>
      <c r="E311" s="12">
        <v>43409</v>
      </c>
      <c r="F311" s="11"/>
      <c r="G311" s="11">
        <f t="shared" si="5"/>
        <v>0</v>
      </c>
    </row>
    <row r="312" spans="1:7" ht="17">
      <c r="A312" s="8">
        <v>43410</v>
      </c>
      <c r="B312" s="9" t="s">
        <v>39</v>
      </c>
      <c r="C312" s="10"/>
      <c r="E312" s="8">
        <v>43410</v>
      </c>
      <c r="F312" s="11"/>
      <c r="G312" s="11">
        <f t="shared" si="5"/>
        <v>0</v>
      </c>
    </row>
    <row r="313" spans="1:7" ht="17">
      <c r="A313" s="8">
        <v>43411</v>
      </c>
      <c r="B313" s="9" t="s">
        <v>39</v>
      </c>
      <c r="C313" s="10"/>
      <c r="E313" s="8">
        <v>43411</v>
      </c>
      <c r="F313" s="11"/>
      <c r="G313" s="11">
        <f t="shared" si="5"/>
        <v>0</v>
      </c>
    </row>
    <row r="314" spans="1:7" ht="17">
      <c r="A314" s="8">
        <v>43412</v>
      </c>
      <c r="B314" s="9" t="s">
        <v>3</v>
      </c>
      <c r="C314" s="10"/>
      <c r="E314" s="8">
        <v>43412</v>
      </c>
      <c r="F314" s="11"/>
      <c r="G314" s="11">
        <f t="shared" si="5"/>
        <v>0</v>
      </c>
    </row>
    <row r="315" spans="1:7">
      <c r="A315" s="12">
        <v>43413</v>
      </c>
      <c r="B315" s="13"/>
      <c r="C315" s="14"/>
      <c r="E315" s="12">
        <v>43413</v>
      </c>
      <c r="F315" s="11"/>
      <c r="G315" s="11">
        <f t="shared" si="5"/>
        <v>0</v>
      </c>
    </row>
    <row r="316" spans="1:7">
      <c r="A316" s="12">
        <v>43414</v>
      </c>
      <c r="B316" s="13"/>
      <c r="C316" s="14"/>
      <c r="E316" s="12">
        <v>43414</v>
      </c>
      <c r="F316" s="11"/>
      <c r="G316" s="11">
        <f t="shared" si="5"/>
        <v>0</v>
      </c>
    </row>
    <row r="317" spans="1:7">
      <c r="A317" s="12">
        <v>43415</v>
      </c>
      <c r="B317" s="13"/>
      <c r="C317" s="14"/>
      <c r="E317" s="12">
        <v>43415</v>
      </c>
      <c r="F317" s="11"/>
      <c r="G317" s="11">
        <f t="shared" si="5"/>
        <v>0</v>
      </c>
    </row>
    <row r="318" spans="1:7">
      <c r="A318" s="12">
        <v>43416</v>
      </c>
      <c r="B318" s="13"/>
      <c r="C318" s="14"/>
      <c r="E318" s="12">
        <v>43416</v>
      </c>
      <c r="F318" s="11"/>
      <c r="G318" s="11">
        <f t="shared" si="5"/>
        <v>0</v>
      </c>
    </row>
    <row r="319" spans="1:7" ht="17">
      <c r="A319" s="8">
        <v>43417</v>
      </c>
      <c r="B319" s="9" t="s">
        <v>39</v>
      </c>
      <c r="C319" s="10"/>
      <c r="E319" s="8">
        <v>43417</v>
      </c>
      <c r="F319" s="11"/>
      <c r="G319" s="11">
        <f t="shared" si="5"/>
        <v>0</v>
      </c>
    </row>
    <row r="320" spans="1:7" ht="17">
      <c r="A320" s="8">
        <v>43418</v>
      </c>
      <c r="B320" s="9" t="s">
        <v>39</v>
      </c>
      <c r="C320" s="10"/>
      <c r="E320" s="8">
        <v>43418</v>
      </c>
      <c r="F320" s="11"/>
      <c r="G320" s="11">
        <f t="shared" si="5"/>
        <v>0</v>
      </c>
    </row>
    <row r="321" spans="1:7" ht="17">
      <c r="A321" s="8">
        <v>43419</v>
      </c>
      <c r="B321" s="9" t="s">
        <v>3</v>
      </c>
      <c r="C321" s="10"/>
      <c r="E321" s="8">
        <v>43419</v>
      </c>
      <c r="F321" s="11"/>
      <c r="G321" s="11">
        <f t="shared" si="5"/>
        <v>0</v>
      </c>
    </row>
    <row r="322" spans="1:7">
      <c r="A322" s="12">
        <v>43420</v>
      </c>
      <c r="B322" s="13"/>
      <c r="C322" s="14"/>
      <c r="E322" s="12">
        <v>43420</v>
      </c>
      <c r="F322" s="11"/>
      <c r="G322" s="11">
        <f t="shared" si="5"/>
        <v>0</v>
      </c>
    </row>
    <row r="323" spans="1:7">
      <c r="A323" s="12">
        <v>43421</v>
      </c>
      <c r="B323" s="13"/>
      <c r="C323" s="14"/>
      <c r="E323" s="12">
        <v>43421</v>
      </c>
      <c r="F323" s="11"/>
      <c r="G323" s="11">
        <f t="shared" si="5"/>
        <v>0</v>
      </c>
    </row>
    <row r="324" spans="1:7">
      <c r="A324" s="12">
        <v>43422</v>
      </c>
      <c r="B324" s="13"/>
      <c r="C324" s="14"/>
      <c r="E324" s="12">
        <v>43422</v>
      </c>
      <c r="F324" s="11"/>
      <c r="G324" s="11">
        <f t="shared" si="5"/>
        <v>0</v>
      </c>
    </row>
    <row r="325" spans="1:7">
      <c r="A325" s="12">
        <v>43423</v>
      </c>
      <c r="B325" s="13"/>
      <c r="C325" s="14"/>
      <c r="E325" s="12">
        <v>43423</v>
      </c>
      <c r="F325" s="11"/>
      <c r="G325" s="11">
        <f t="shared" si="5"/>
        <v>0</v>
      </c>
    </row>
    <row r="326" spans="1:7" ht="17">
      <c r="A326" s="8">
        <v>43424</v>
      </c>
      <c r="B326" s="9" t="s">
        <v>39</v>
      </c>
      <c r="C326" s="10"/>
      <c r="E326" s="8">
        <v>43424</v>
      </c>
      <c r="F326" s="11"/>
      <c r="G326" s="11">
        <f t="shared" si="5"/>
        <v>0</v>
      </c>
    </row>
    <row r="327" spans="1:7" ht="17">
      <c r="A327" s="8">
        <v>43425</v>
      </c>
      <c r="B327" s="9" t="s">
        <v>39</v>
      </c>
      <c r="C327" s="10"/>
      <c r="E327" s="8">
        <v>43425</v>
      </c>
      <c r="F327" s="11"/>
      <c r="G327" s="11">
        <f t="shared" si="5"/>
        <v>0</v>
      </c>
    </row>
    <row r="328" spans="1:7" ht="17">
      <c r="A328" s="8">
        <v>43426</v>
      </c>
      <c r="B328" s="9" t="s">
        <v>3</v>
      </c>
      <c r="C328" s="10"/>
      <c r="E328" s="8">
        <v>43426</v>
      </c>
      <c r="F328" s="11"/>
      <c r="G328" s="11">
        <f t="shared" si="5"/>
        <v>0</v>
      </c>
    </row>
    <row r="329" spans="1:7">
      <c r="A329" s="12">
        <v>43427</v>
      </c>
      <c r="B329" s="13"/>
      <c r="C329" s="14"/>
      <c r="E329" s="12">
        <v>43427</v>
      </c>
      <c r="F329" s="11"/>
      <c r="G329" s="11">
        <f t="shared" si="5"/>
        <v>0</v>
      </c>
    </row>
    <row r="330" spans="1:7">
      <c r="A330" s="12">
        <v>43428</v>
      </c>
      <c r="B330" s="13"/>
      <c r="C330" s="14"/>
      <c r="E330" s="12">
        <v>43428</v>
      </c>
      <c r="F330" s="11"/>
      <c r="G330" s="11">
        <f t="shared" si="5"/>
        <v>0</v>
      </c>
    </row>
    <row r="331" spans="1:7">
      <c r="A331" s="12">
        <v>43429</v>
      </c>
      <c r="B331" s="13"/>
      <c r="C331" s="14"/>
      <c r="E331" s="12">
        <v>43429</v>
      </c>
      <c r="F331" s="11"/>
      <c r="G331" s="11">
        <f t="shared" si="5"/>
        <v>0</v>
      </c>
    </row>
    <row r="332" spans="1:7">
      <c r="A332" s="12">
        <v>43430</v>
      </c>
      <c r="B332" s="13"/>
      <c r="C332" s="14"/>
      <c r="E332" s="12">
        <v>43430</v>
      </c>
      <c r="F332" s="11"/>
      <c r="G332" s="11">
        <f t="shared" si="5"/>
        <v>0</v>
      </c>
    </row>
    <row r="333" spans="1:7" ht="17">
      <c r="A333" s="8">
        <v>43431</v>
      </c>
      <c r="B333" s="9" t="s">
        <v>39</v>
      </c>
      <c r="C333" s="10"/>
      <c r="E333" s="8">
        <v>43431</v>
      </c>
      <c r="F333" s="11"/>
      <c r="G333" s="11">
        <f t="shared" si="5"/>
        <v>0</v>
      </c>
    </row>
    <row r="334" spans="1:7" ht="17">
      <c r="A334" s="8">
        <v>43432</v>
      </c>
      <c r="B334" s="9" t="s">
        <v>39</v>
      </c>
      <c r="C334" s="10"/>
      <c r="E334" s="8">
        <v>43432</v>
      </c>
      <c r="F334" s="11"/>
      <c r="G334" s="11">
        <f t="shared" si="5"/>
        <v>0</v>
      </c>
    </row>
    <row r="335" spans="1:7" ht="17">
      <c r="A335" s="8">
        <v>43433</v>
      </c>
      <c r="B335" s="9" t="s">
        <v>3</v>
      </c>
      <c r="C335" s="10"/>
      <c r="E335" s="8">
        <v>43433</v>
      </c>
      <c r="F335" s="11"/>
      <c r="G335" s="11">
        <f t="shared" si="5"/>
        <v>0</v>
      </c>
    </row>
    <row r="336" spans="1:7">
      <c r="A336" s="12">
        <v>43434</v>
      </c>
      <c r="B336" s="13"/>
      <c r="C336" s="14"/>
      <c r="E336" s="12">
        <v>43434</v>
      </c>
      <c r="F336" s="11"/>
      <c r="G336" s="11">
        <f t="shared" si="5"/>
        <v>0</v>
      </c>
    </row>
    <row r="337" spans="1:7">
      <c r="A337" s="12">
        <v>43435</v>
      </c>
      <c r="B337" s="13"/>
      <c r="C337" s="14"/>
      <c r="E337" s="12">
        <v>43435</v>
      </c>
      <c r="F337" s="11"/>
      <c r="G337" s="11">
        <f t="shared" si="5"/>
        <v>0</v>
      </c>
    </row>
    <row r="338" spans="1:7">
      <c r="A338" s="12">
        <v>43436</v>
      </c>
      <c r="B338" s="13"/>
      <c r="C338" s="14"/>
      <c r="E338" s="12">
        <v>43436</v>
      </c>
      <c r="F338" s="11"/>
      <c r="G338" s="11">
        <f t="shared" ref="G338:G402" si="6">G337+F338</f>
        <v>0</v>
      </c>
    </row>
    <row r="339" spans="1:7">
      <c r="A339" s="12">
        <v>43437</v>
      </c>
      <c r="B339" s="13"/>
      <c r="C339" s="14"/>
      <c r="E339" s="12">
        <v>43437</v>
      </c>
      <c r="F339" s="11"/>
      <c r="G339" s="11">
        <f t="shared" si="6"/>
        <v>0</v>
      </c>
    </row>
    <row r="340" spans="1:7" ht="17">
      <c r="A340" s="8">
        <v>43438</v>
      </c>
      <c r="B340" s="9" t="s">
        <v>39</v>
      </c>
      <c r="C340" s="10"/>
      <c r="E340" s="8">
        <v>43438</v>
      </c>
      <c r="F340" s="11"/>
      <c r="G340" s="11">
        <f t="shared" si="6"/>
        <v>0</v>
      </c>
    </row>
    <row r="341" spans="1:7" ht="17">
      <c r="A341" s="8">
        <v>43439</v>
      </c>
      <c r="B341" s="9" t="s">
        <v>39</v>
      </c>
      <c r="C341" s="10"/>
      <c r="E341" s="8">
        <v>43439</v>
      </c>
      <c r="F341" s="11"/>
      <c r="G341" s="11">
        <f t="shared" si="6"/>
        <v>0</v>
      </c>
    </row>
    <row r="342" spans="1:7" ht="17">
      <c r="A342" s="8">
        <v>43440</v>
      </c>
      <c r="B342" s="9" t="s">
        <v>3</v>
      </c>
      <c r="C342" s="10"/>
      <c r="E342" s="8">
        <v>43440</v>
      </c>
      <c r="F342" s="11"/>
      <c r="G342" s="11">
        <f t="shared" si="6"/>
        <v>0</v>
      </c>
    </row>
    <row r="343" spans="1:7">
      <c r="A343" s="12">
        <v>43441</v>
      </c>
      <c r="B343" s="13"/>
      <c r="C343" s="14"/>
      <c r="E343" s="12">
        <v>43441</v>
      </c>
      <c r="F343" s="11"/>
      <c r="G343" s="11">
        <f t="shared" si="6"/>
        <v>0</v>
      </c>
    </row>
    <row r="344" spans="1:7">
      <c r="A344" s="12">
        <v>43442</v>
      </c>
      <c r="B344" s="13"/>
      <c r="C344" s="14"/>
      <c r="E344" s="12">
        <v>43442</v>
      </c>
      <c r="F344" s="11"/>
      <c r="G344" s="11">
        <f t="shared" si="6"/>
        <v>0</v>
      </c>
    </row>
    <row r="345" spans="1:7">
      <c r="A345" s="12">
        <v>43443</v>
      </c>
      <c r="B345" s="13"/>
      <c r="C345" s="14"/>
      <c r="E345" s="12">
        <v>43443</v>
      </c>
      <c r="F345" s="11"/>
      <c r="G345" s="11">
        <f t="shared" si="6"/>
        <v>0</v>
      </c>
    </row>
    <row r="346" spans="1:7">
      <c r="A346" s="12">
        <v>43444</v>
      </c>
      <c r="B346" s="13"/>
      <c r="C346" s="14"/>
      <c r="E346" s="12">
        <v>43444</v>
      </c>
      <c r="F346" s="11"/>
      <c r="G346" s="11">
        <f t="shared" si="6"/>
        <v>0</v>
      </c>
    </row>
    <row r="347" spans="1:7" ht="17">
      <c r="A347" s="8">
        <v>43445</v>
      </c>
      <c r="B347" s="9" t="s">
        <v>39</v>
      </c>
      <c r="C347" s="10"/>
      <c r="E347" s="8">
        <v>43445</v>
      </c>
      <c r="F347" s="11"/>
      <c r="G347" s="11">
        <f t="shared" si="6"/>
        <v>0</v>
      </c>
    </row>
    <row r="348" spans="1:7" ht="17">
      <c r="A348" s="8">
        <v>43446</v>
      </c>
      <c r="B348" s="9" t="s">
        <v>39</v>
      </c>
      <c r="C348" s="10"/>
      <c r="E348" s="8">
        <v>43446</v>
      </c>
      <c r="F348" s="11"/>
      <c r="G348" s="11">
        <f t="shared" si="6"/>
        <v>0</v>
      </c>
    </row>
    <row r="349" spans="1:7" ht="17">
      <c r="A349" s="8">
        <v>43447</v>
      </c>
      <c r="B349" s="9" t="s">
        <v>3</v>
      </c>
      <c r="C349" s="10"/>
      <c r="E349" s="8">
        <v>43447</v>
      </c>
      <c r="F349" s="11"/>
      <c r="G349" s="11">
        <f t="shared" si="6"/>
        <v>0</v>
      </c>
    </row>
    <row r="350" spans="1:7">
      <c r="A350" s="12">
        <v>43448</v>
      </c>
      <c r="B350" s="13"/>
      <c r="C350" s="14"/>
      <c r="E350" s="12">
        <v>43448</v>
      </c>
      <c r="F350" s="11"/>
      <c r="G350" s="11">
        <f t="shared" si="6"/>
        <v>0</v>
      </c>
    </row>
    <row r="351" spans="1:7">
      <c r="A351" s="12">
        <v>43449</v>
      </c>
      <c r="B351" s="13"/>
      <c r="C351" s="14"/>
      <c r="E351" s="12">
        <v>43449</v>
      </c>
      <c r="F351" s="11"/>
      <c r="G351" s="11">
        <f t="shared" si="6"/>
        <v>0</v>
      </c>
    </row>
    <row r="352" spans="1:7">
      <c r="A352" s="12">
        <v>43450</v>
      </c>
      <c r="B352" s="13"/>
      <c r="C352" s="14"/>
      <c r="E352" s="12">
        <v>43450</v>
      </c>
      <c r="F352" s="11"/>
      <c r="G352" s="11">
        <f t="shared" si="6"/>
        <v>0</v>
      </c>
    </row>
    <row r="353" spans="1:7">
      <c r="A353" s="12">
        <v>43451</v>
      </c>
      <c r="B353" s="13"/>
      <c r="C353" s="14"/>
      <c r="E353" s="12">
        <v>43451</v>
      </c>
      <c r="F353" s="11"/>
      <c r="G353" s="11">
        <f t="shared" si="6"/>
        <v>0</v>
      </c>
    </row>
    <row r="354" spans="1:7" ht="17">
      <c r="A354" s="8">
        <v>43452</v>
      </c>
      <c r="B354" s="9" t="s">
        <v>39</v>
      </c>
      <c r="C354" s="10"/>
      <c r="E354" s="8">
        <v>43452</v>
      </c>
      <c r="F354" s="11"/>
      <c r="G354" s="11">
        <f t="shared" si="6"/>
        <v>0</v>
      </c>
    </row>
    <row r="355" spans="1:7" ht="17">
      <c r="A355" s="8">
        <v>43453</v>
      </c>
      <c r="B355" s="9" t="s">
        <v>39</v>
      </c>
      <c r="C355" s="10"/>
      <c r="E355" s="8">
        <v>43453</v>
      </c>
      <c r="F355" s="11"/>
      <c r="G355" s="11">
        <f t="shared" si="6"/>
        <v>0</v>
      </c>
    </row>
    <row r="356" spans="1:7">
      <c r="A356" s="8">
        <v>43454</v>
      </c>
      <c r="B356" s="9"/>
      <c r="C356" s="10" t="s">
        <v>59</v>
      </c>
      <c r="E356" s="8">
        <v>43454</v>
      </c>
      <c r="F356" s="11"/>
      <c r="G356" s="11">
        <f t="shared" si="6"/>
        <v>0</v>
      </c>
    </row>
    <row r="357" spans="1:7">
      <c r="A357" s="12">
        <v>43455</v>
      </c>
      <c r="B357" s="13"/>
      <c r="C357" s="14"/>
      <c r="E357" s="12">
        <v>43455</v>
      </c>
      <c r="F357" s="11"/>
      <c r="G357" s="11">
        <f t="shared" si="6"/>
        <v>0</v>
      </c>
    </row>
    <row r="358" spans="1:7">
      <c r="A358" s="12">
        <v>43456</v>
      </c>
      <c r="B358" s="13"/>
      <c r="C358" s="14"/>
      <c r="E358" s="12">
        <v>43456</v>
      </c>
      <c r="F358" s="11"/>
      <c r="G358" s="11">
        <f t="shared" si="6"/>
        <v>0</v>
      </c>
    </row>
    <row r="359" spans="1:7">
      <c r="A359" s="12">
        <v>43457</v>
      </c>
      <c r="B359" s="13"/>
      <c r="C359" s="14"/>
      <c r="E359" s="12">
        <v>43457</v>
      </c>
      <c r="F359" s="11"/>
      <c r="G359" s="11">
        <f t="shared" si="6"/>
        <v>0</v>
      </c>
    </row>
    <row r="360" spans="1:7">
      <c r="A360" s="12">
        <v>43458</v>
      </c>
      <c r="B360" s="13"/>
      <c r="C360" s="14"/>
      <c r="E360" s="12">
        <v>43458</v>
      </c>
      <c r="F360" s="11"/>
      <c r="G360" s="11">
        <f t="shared" si="6"/>
        <v>0</v>
      </c>
    </row>
    <row r="361" spans="1:7" ht="17">
      <c r="A361" s="8">
        <v>43459</v>
      </c>
      <c r="B361" s="9" t="s">
        <v>0</v>
      </c>
      <c r="C361" s="10"/>
      <c r="E361" s="8">
        <v>43459</v>
      </c>
      <c r="F361" s="11"/>
      <c r="G361" s="11">
        <f t="shared" si="6"/>
        <v>0</v>
      </c>
    </row>
    <row r="362" spans="1:7" ht="17">
      <c r="A362" s="8">
        <v>43460</v>
      </c>
      <c r="B362" s="9" t="s">
        <v>0</v>
      </c>
      <c r="C362" s="10" t="s">
        <v>60</v>
      </c>
      <c r="E362" s="8">
        <v>43460</v>
      </c>
      <c r="F362" s="11"/>
      <c r="G362" s="11">
        <f t="shared" si="6"/>
        <v>0</v>
      </c>
    </row>
    <row r="363" spans="1:7" ht="17">
      <c r="A363" s="8">
        <v>43461</v>
      </c>
      <c r="B363" s="9" t="s">
        <v>1</v>
      </c>
      <c r="C363" s="10"/>
      <c r="E363" s="8">
        <v>43461</v>
      </c>
      <c r="F363" s="11"/>
      <c r="G363" s="11">
        <f t="shared" si="6"/>
        <v>0</v>
      </c>
    </row>
    <row r="364" spans="1:7">
      <c r="A364" s="12">
        <v>43462</v>
      </c>
      <c r="B364" s="13"/>
      <c r="C364" s="14"/>
      <c r="E364" s="12">
        <v>43462</v>
      </c>
      <c r="F364" s="11"/>
      <c r="G364" s="11">
        <f t="shared" si="6"/>
        <v>0</v>
      </c>
    </row>
    <row r="365" spans="1:7">
      <c r="A365" s="12">
        <v>43463</v>
      </c>
      <c r="B365" s="13"/>
      <c r="C365" s="14"/>
      <c r="E365" s="12">
        <v>43463</v>
      </c>
      <c r="F365" s="11"/>
      <c r="G365" s="11">
        <f t="shared" si="6"/>
        <v>0</v>
      </c>
    </row>
    <row r="366" spans="1:7">
      <c r="A366" s="12">
        <v>43464</v>
      </c>
      <c r="B366" s="13"/>
      <c r="C366" s="14"/>
      <c r="E366" s="12">
        <v>43464</v>
      </c>
      <c r="F366" s="11"/>
      <c r="G366" s="11">
        <f t="shared" si="6"/>
        <v>0</v>
      </c>
    </row>
    <row r="367" spans="1:7">
      <c r="A367" s="12">
        <v>43465</v>
      </c>
      <c r="B367" s="13"/>
      <c r="C367" s="14"/>
      <c r="E367" s="12">
        <v>43465</v>
      </c>
      <c r="F367" s="11"/>
      <c r="G367" s="11">
        <f t="shared" si="6"/>
        <v>0</v>
      </c>
    </row>
    <row r="368" spans="1:7" ht="17">
      <c r="A368" s="8">
        <v>43466</v>
      </c>
      <c r="B368" s="9" t="s">
        <v>0</v>
      </c>
      <c r="C368" s="10" t="s">
        <v>61</v>
      </c>
      <c r="E368" s="8">
        <v>43466</v>
      </c>
      <c r="F368" s="11"/>
      <c r="G368" s="11">
        <f t="shared" si="6"/>
        <v>0</v>
      </c>
    </row>
    <row r="369" spans="1:7" ht="17">
      <c r="A369" s="8">
        <v>43467</v>
      </c>
      <c r="B369" s="9" t="s">
        <v>1</v>
      </c>
      <c r="C369" s="10" t="s">
        <v>62</v>
      </c>
      <c r="E369" s="8">
        <v>43467</v>
      </c>
      <c r="F369" s="11"/>
      <c r="G369" s="11">
        <f t="shared" si="6"/>
        <v>0</v>
      </c>
    </row>
    <row r="370" spans="1:7" ht="17">
      <c r="A370" s="8">
        <v>43468</v>
      </c>
      <c r="B370" s="9" t="s">
        <v>1</v>
      </c>
      <c r="C370" s="10"/>
      <c r="E370" s="8">
        <v>43468</v>
      </c>
      <c r="F370" s="11"/>
      <c r="G370" s="11">
        <f t="shared" si="6"/>
        <v>0</v>
      </c>
    </row>
    <row r="371" spans="1:7">
      <c r="A371" s="12">
        <v>43469</v>
      </c>
      <c r="B371" s="13"/>
      <c r="C371" s="14"/>
      <c r="E371" s="12">
        <v>43469</v>
      </c>
      <c r="F371" s="11"/>
      <c r="G371" s="11">
        <f t="shared" si="6"/>
        <v>0</v>
      </c>
    </row>
    <row r="372" spans="1:7">
      <c r="A372" s="12">
        <v>43470</v>
      </c>
      <c r="B372" s="13"/>
      <c r="C372" s="14"/>
      <c r="E372" s="12">
        <v>43470</v>
      </c>
      <c r="F372" s="11"/>
      <c r="G372" s="11">
        <f t="shared" si="6"/>
        <v>0</v>
      </c>
    </row>
    <row r="373" spans="1:7">
      <c r="A373" s="12">
        <v>43471</v>
      </c>
      <c r="B373" s="13"/>
      <c r="C373" s="14"/>
      <c r="E373" s="12">
        <v>43471</v>
      </c>
      <c r="F373" s="11"/>
      <c r="G373" s="11">
        <f t="shared" si="6"/>
        <v>0</v>
      </c>
    </row>
    <row r="374" spans="1:7">
      <c r="A374" s="12">
        <v>43472</v>
      </c>
      <c r="B374" s="13"/>
      <c r="C374" s="14"/>
      <c r="E374" s="12">
        <v>43472</v>
      </c>
      <c r="F374" s="11"/>
      <c r="G374" s="11">
        <f t="shared" si="6"/>
        <v>0</v>
      </c>
    </row>
    <row r="375" spans="1:7" ht="17">
      <c r="A375" s="8">
        <v>43473</v>
      </c>
      <c r="B375" s="9" t="s">
        <v>1</v>
      </c>
      <c r="C375" s="10"/>
      <c r="E375" s="8">
        <v>43473</v>
      </c>
      <c r="F375" s="11"/>
      <c r="G375" s="11">
        <f t="shared" si="6"/>
        <v>0</v>
      </c>
    </row>
    <row r="376" spans="1:7" ht="17">
      <c r="A376" s="8">
        <v>43474</v>
      </c>
      <c r="B376" s="9" t="s">
        <v>1</v>
      </c>
      <c r="C376" s="10"/>
      <c r="E376" s="8">
        <v>43474</v>
      </c>
      <c r="F376" s="11"/>
      <c r="G376" s="11">
        <f t="shared" si="6"/>
        <v>0</v>
      </c>
    </row>
    <row r="377" spans="1:7" ht="17">
      <c r="A377" s="8">
        <v>43475</v>
      </c>
      <c r="B377" s="9" t="s">
        <v>1</v>
      </c>
      <c r="C377" s="10"/>
      <c r="E377" s="8">
        <v>43475</v>
      </c>
      <c r="F377" s="11"/>
      <c r="G377" s="11">
        <f t="shared" si="6"/>
        <v>0</v>
      </c>
    </row>
    <row r="378" spans="1:7">
      <c r="A378" s="12">
        <v>43476</v>
      </c>
      <c r="B378" s="13"/>
      <c r="C378" s="14"/>
      <c r="E378" s="12">
        <v>43476</v>
      </c>
      <c r="F378" s="11"/>
      <c r="G378" s="11">
        <f t="shared" si="6"/>
        <v>0</v>
      </c>
    </row>
    <row r="379" spans="1:7">
      <c r="A379" s="12">
        <v>43477</v>
      </c>
      <c r="B379" s="13"/>
      <c r="C379" s="14"/>
      <c r="E379" s="12">
        <v>43477</v>
      </c>
      <c r="F379" s="11"/>
      <c r="G379" s="11">
        <f t="shared" si="6"/>
        <v>0</v>
      </c>
    </row>
    <row r="380" spans="1:7">
      <c r="A380" s="12">
        <v>43478</v>
      </c>
      <c r="B380" s="13"/>
      <c r="C380" s="14"/>
      <c r="E380" s="12">
        <v>43478</v>
      </c>
      <c r="F380" s="11"/>
      <c r="G380" s="11">
        <f t="shared" si="6"/>
        <v>0</v>
      </c>
    </row>
    <row r="381" spans="1:7">
      <c r="A381" s="12">
        <v>43479</v>
      </c>
      <c r="B381" s="13"/>
      <c r="C381" s="14"/>
      <c r="E381" s="12">
        <v>43479</v>
      </c>
      <c r="F381" s="11"/>
      <c r="G381" s="11">
        <f t="shared" si="6"/>
        <v>0</v>
      </c>
    </row>
    <row r="382" spans="1:7" ht="17">
      <c r="A382" s="8">
        <v>43480</v>
      </c>
      <c r="B382" s="9" t="s">
        <v>1</v>
      </c>
      <c r="C382" s="10"/>
      <c r="E382" s="8">
        <v>43480</v>
      </c>
      <c r="F382" s="11"/>
      <c r="G382" s="11">
        <f t="shared" si="6"/>
        <v>0</v>
      </c>
    </row>
    <row r="383" spans="1:7" ht="17">
      <c r="A383" s="8">
        <v>43481</v>
      </c>
      <c r="B383" s="9" t="s">
        <v>39</v>
      </c>
      <c r="C383" s="10"/>
      <c r="E383" s="8">
        <v>43481</v>
      </c>
      <c r="F383" s="11"/>
      <c r="G383" s="11">
        <f t="shared" si="6"/>
        <v>0</v>
      </c>
    </row>
    <row r="384" spans="1:7" ht="17">
      <c r="A384" s="8">
        <v>43482</v>
      </c>
      <c r="B384" s="9" t="s">
        <v>39</v>
      </c>
      <c r="C384" s="10" t="s">
        <v>65</v>
      </c>
      <c r="E384" s="8">
        <v>43482</v>
      </c>
      <c r="F384" s="11"/>
      <c r="G384" s="11">
        <f t="shared" si="6"/>
        <v>0</v>
      </c>
    </row>
    <row r="385" spans="1:7">
      <c r="A385" s="12">
        <v>43483</v>
      </c>
      <c r="B385" s="13"/>
      <c r="C385" s="14"/>
      <c r="E385" s="12">
        <v>43483</v>
      </c>
      <c r="F385" s="11"/>
      <c r="G385" s="11">
        <f t="shared" si="6"/>
        <v>0</v>
      </c>
    </row>
    <row r="386" spans="1:7">
      <c r="A386" s="12">
        <v>43484</v>
      </c>
      <c r="B386" s="13"/>
      <c r="C386" s="14"/>
      <c r="E386" s="12">
        <v>43484</v>
      </c>
      <c r="F386" s="11"/>
      <c r="G386" s="11">
        <f t="shared" si="6"/>
        <v>0</v>
      </c>
    </row>
    <row r="387" spans="1:7">
      <c r="A387" s="12">
        <v>43485</v>
      </c>
      <c r="B387" s="13"/>
      <c r="C387" s="14"/>
      <c r="E387" s="12">
        <v>43485</v>
      </c>
      <c r="F387" s="11"/>
      <c r="G387" s="11">
        <f t="shared" si="6"/>
        <v>0</v>
      </c>
    </row>
    <row r="388" spans="1:7">
      <c r="A388" s="12">
        <v>43486</v>
      </c>
      <c r="B388" s="13"/>
      <c r="C388" s="14"/>
      <c r="E388" s="12">
        <v>43486</v>
      </c>
      <c r="F388" s="11"/>
      <c r="G388" s="11">
        <f t="shared" si="6"/>
        <v>0</v>
      </c>
    </row>
    <row r="389" spans="1:7" ht="17">
      <c r="A389" s="8">
        <v>43487</v>
      </c>
      <c r="B389" s="9" t="s">
        <v>39</v>
      </c>
      <c r="C389" s="10"/>
      <c r="E389" s="8">
        <v>43487</v>
      </c>
      <c r="F389" s="11"/>
      <c r="G389" s="11">
        <f t="shared" si="6"/>
        <v>0</v>
      </c>
    </row>
    <row r="390" spans="1:7" ht="17">
      <c r="A390" s="8">
        <v>43488</v>
      </c>
      <c r="B390" s="9" t="s">
        <v>39</v>
      </c>
      <c r="C390" s="10"/>
      <c r="E390" s="8">
        <v>43488</v>
      </c>
      <c r="F390" s="11"/>
      <c r="G390" s="11">
        <f t="shared" si="6"/>
        <v>0</v>
      </c>
    </row>
    <row r="391" spans="1:7" ht="17">
      <c r="A391" s="8">
        <v>43489</v>
      </c>
      <c r="B391" s="9" t="s">
        <v>3</v>
      </c>
      <c r="C391" s="10"/>
      <c r="E391" s="8">
        <v>43489</v>
      </c>
      <c r="F391" s="11"/>
      <c r="G391" s="11">
        <f t="shared" si="6"/>
        <v>0</v>
      </c>
    </row>
    <row r="392" spans="1:7">
      <c r="A392" s="12">
        <v>43490</v>
      </c>
      <c r="B392" s="13"/>
      <c r="C392" s="14"/>
      <c r="E392" s="12">
        <v>43490</v>
      </c>
      <c r="F392" s="11"/>
      <c r="G392" s="11">
        <f t="shared" si="6"/>
        <v>0</v>
      </c>
    </row>
    <row r="393" spans="1:7">
      <c r="A393" s="12">
        <v>43491</v>
      </c>
      <c r="B393" s="13"/>
      <c r="C393" s="14"/>
      <c r="E393" s="12">
        <v>43491</v>
      </c>
      <c r="F393" s="11"/>
      <c r="G393" s="11">
        <f t="shared" si="6"/>
        <v>0</v>
      </c>
    </row>
    <row r="394" spans="1:7">
      <c r="A394" s="12">
        <v>43492</v>
      </c>
      <c r="B394" s="13"/>
      <c r="C394" s="14"/>
      <c r="E394" s="12">
        <v>43492</v>
      </c>
      <c r="F394" s="11"/>
      <c r="G394" s="11">
        <f t="shared" si="6"/>
        <v>0</v>
      </c>
    </row>
    <row r="395" spans="1:7">
      <c r="A395" s="12">
        <v>43493</v>
      </c>
      <c r="B395" s="13"/>
      <c r="C395" s="14"/>
      <c r="E395" s="12">
        <v>43493</v>
      </c>
      <c r="F395" s="11"/>
      <c r="G395" s="11">
        <f t="shared" si="6"/>
        <v>0</v>
      </c>
    </row>
    <row r="396" spans="1:7" ht="17">
      <c r="A396" s="8">
        <v>43494</v>
      </c>
      <c r="B396" s="9" t="s">
        <v>39</v>
      </c>
      <c r="C396" s="10"/>
      <c r="E396" s="8">
        <v>43494</v>
      </c>
      <c r="F396" s="11"/>
      <c r="G396" s="11">
        <f t="shared" si="6"/>
        <v>0</v>
      </c>
    </row>
    <row r="397" spans="1:7" ht="17">
      <c r="A397" s="8">
        <v>43495</v>
      </c>
      <c r="B397" s="9" t="s">
        <v>39</v>
      </c>
      <c r="C397" s="10"/>
      <c r="E397" s="8">
        <v>43495</v>
      </c>
      <c r="F397" s="11"/>
      <c r="G397" s="11">
        <f t="shared" si="6"/>
        <v>0</v>
      </c>
    </row>
    <row r="398" spans="1:7" ht="17">
      <c r="A398" s="8">
        <v>43496</v>
      </c>
      <c r="B398" s="9" t="s">
        <v>3</v>
      </c>
      <c r="C398" s="10"/>
      <c r="E398" s="8">
        <v>43496</v>
      </c>
      <c r="F398" s="11"/>
      <c r="G398" s="11">
        <f t="shared" si="6"/>
        <v>0</v>
      </c>
    </row>
    <row r="399" spans="1:7">
      <c r="A399" s="12">
        <v>43497</v>
      </c>
      <c r="B399" s="13"/>
      <c r="C399" s="14"/>
      <c r="E399" s="12">
        <v>43497</v>
      </c>
      <c r="F399" s="11"/>
      <c r="G399" s="11">
        <f t="shared" si="6"/>
        <v>0</v>
      </c>
    </row>
    <row r="400" spans="1:7">
      <c r="A400" s="12">
        <v>43498</v>
      </c>
      <c r="B400" s="13"/>
      <c r="C400" s="14"/>
      <c r="E400" s="12">
        <v>43498</v>
      </c>
      <c r="F400" s="11"/>
      <c r="G400" s="11">
        <f t="shared" si="6"/>
        <v>0</v>
      </c>
    </row>
    <row r="401" spans="1:7">
      <c r="A401" s="12">
        <v>43499</v>
      </c>
      <c r="B401" s="13"/>
      <c r="C401" s="14"/>
      <c r="E401" s="12">
        <v>43499</v>
      </c>
      <c r="F401" s="11"/>
      <c r="G401" s="11">
        <f t="shared" si="6"/>
        <v>0</v>
      </c>
    </row>
    <row r="402" spans="1:7">
      <c r="A402" s="12">
        <v>43500</v>
      </c>
      <c r="B402" s="13"/>
      <c r="C402" s="14"/>
      <c r="E402" s="12">
        <v>43500</v>
      </c>
      <c r="F402" s="11"/>
      <c r="G402" s="11">
        <f t="shared" si="6"/>
        <v>0</v>
      </c>
    </row>
    <row r="403" spans="1:7" ht="17">
      <c r="A403" s="8">
        <v>43501</v>
      </c>
      <c r="B403" s="9" t="s">
        <v>39</v>
      </c>
      <c r="C403" s="10"/>
      <c r="E403" s="8">
        <v>43501</v>
      </c>
      <c r="F403" s="11"/>
      <c r="G403" s="11">
        <f t="shared" ref="G403:G466" si="7">G402+F403</f>
        <v>0</v>
      </c>
    </row>
    <row r="404" spans="1:7" ht="17">
      <c r="A404" s="8">
        <v>43502</v>
      </c>
      <c r="B404" s="9" t="s">
        <v>39</v>
      </c>
      <c r="C404" s="10"/>
      <c r="E404" s="8">
        <v>43502</v>
      </c>
      <c r="F404" s="11"/>
      <c r="G404" s="11">
        <f t="shared" si="7"/>
        <v>0</v>
      </c>
    </row>
    <row r="405" spans="1:7" ht="17">
      <c r="A405" s="8">
        <v>43503</v>
      </c>
      <c r="B405" s="9" t="s">
        <v>3</v>
      </c>
      <c r="C405" s="10"/>
      <c r="E405" s="8">
        <v>43503</v>
      </c>
      <c r="F405" s="11"/>
      <c r="G405" s="11">
        <f t="shared" si="7"/>
        <v>0</v>
      </c>
    </row>
    <row r="406" spans="1:7">
      <c r="A406" s="12">
        <v>43504</v>
      </c>
      <c r="B406" s="13"/>
      <c r="C406" s="14"/>
      <c r="E406" s="12">
        <v>43504</v>
      </c>
      <c r="F406" s="11"/>
      <c r="G406" s="11">
        <f t="shared" si="7"/>
        <v>0</v>
      </c>
    </row>
    <row r="407" spans="1:7">
      <c r="A407" s="12">
        <v>43505</v>
      </c>
      <c r="B407" s="13"/>
      <c r="C407" s="14"/>
      <c r="E407" s="12">
        <v>43505</v>
      </c>
      <c r="F407" s="11"/>
      <c r="G407" s="11">
        <f t="shared" si="7"/>
        <v>0</v>
      </c>
    </row>
    <row r="408" spans="1:7">
      <c r="A408" s="12">
        <v>43506</v>
      </c>
      <c r="B408" s="13"/>
      <c r="C408" s="14"/>
      <c r="E408" s="12">
        <v>43506</v>
      </c>
      <c r="F408" s="11"/>
      <c r="G408" s="11">
        <f t="shared" si="7"/>
        <v>0</v>
      </c>
    </row>
    <row r="409" spans="1:7">
      <c r="A409" s="12">
        <v>43507</v>
      </c>
      <c r="B409" s="13"/>
      <c r="C409" s="14"/>
      <c r="E409" s="12">
        <v>43507</v>
      </c>
      <c r="F409" s="11"/>
      <c r="G409" s="11">
        <f t="shared" si="7"/>
        <v>0</v>
      </c>
    </row>
    <row r="410" spans="1:7" ht="17">
      <c r="A410" s="8">
        <v>43508</v>
      </c>
      <c r="B410" s="9" t="s">
        <v>39</v>
      </c>
      <c r="C410" s="10"/>
      <c r="E410" s="8">
        <v>43508</v>
      </c>
      <c r="F410" s="11"/>
      <c r="G410" s="11">
        <f t="shared" si="7"/>
        <v>0</v>
      </c>
    </row>
    <row r="411" spans="1:7" ht="17">
      <c r="A411" s="8">
        <v>43509</v>
      </c>
      <c r="B411" s="9" t="s">
        <v>39</v>
      </c>
      <c r="C411" s="10"/>
      <c r="E411" s="8">
        <v>43509</v>
      </c>
      <c r="F411" s="11"/>
      <c r="G411" s="11">
        <f t="shared" si="7"/>
        <v>0</v>
      </c>
    </row>
    <row r="412" spans="1:7" ht="17">
      <c r="A412" s="8">
        <v>43510</v>
      </c>
      <c r="B412" s="9" t="s">
        <v>3</v>
      </c>
      <c r="C412" s="10"/>
      <c r="E412" s="8">
        <v>43510</v>
      </c>
      <c r="F412" s="11"/>
      <c r="G412" s="11">
        <f t="shared" si="7"/>
        <v>0</v>
      </c>
    </row>
    <row r="413" spans="1:7">
      <c r="A413" s="12">
        <v>43511</v>
      </c>
      <c r="B413" s="13"/>
      <c r="C413" s="14"/>
      <c r="E413" s="12">
        <v>43511</v>
      </c>
      <c r="F413" s="11"/>
      <c r="G413" s="11">
        <f t="shared" si="7"/>
        <v>0</v>
      </c>
    </row>
    <row r="414" spans="1:7">
      <c r="A414" s="12">
        <v>43512</v>
      </c>
      <c r="B414" s="13"/>
      <c r="C414" s="14"/>
      <c r="E414" s="12">
        <v>43512</v>
      </c>
      <c r="F414" s="11"/>
      <c r="G414" s="11">
        <f t="shared" si="7"/>
        <v>0</v>
      </c>
    </row>
    <row r="415" spans="1:7">
      <c r="A415" s="12">
        <v>43513</v>
      </c>
      <c r="B415" s="13"/>
      <c r="C415" s="14"/>
      <c r="E415" s="12">
        <v>43513</v>
      </c>
      <c r="F415" s="11"/>
      <c r="G415" s="11">
        <f t="shared" si="7"/>
        <v>0</v>
      </c>
    </row>
    <row r="416" spans="1:7">
      <c r="A416" s="12">
        <v>43514</v>
      </c>
      <c r="B416" s="13"/>
      <c r="C416" s="14"/>
      <c r="E416" s="12">
        <v>43514</v>
      </c>
      <c r="F416" s="11"/>
      <c r="G416" s="11">
        <f t="shared" si="7"/>
        <v>0</v>
      </c>
    </row>
    <row r="417" spans="1:7" ht="17">
      <c r="A417" s="8">
        <v>43515</v>
      </c>
      <c r="B417" s="9" t="s">
        <v>39</v>
      </c>
      <c r="C417" s="10"/>
      <c r="E417" s="8">
        <v>43515</v>
      </c>
      <c r="F417" s="11"/>
      <c r="G417" s="11">
        <f t="shared" si="7"/>
        <v>0</v>
      </c>
    </row>
    <row r="418" spans="1:7" ht="17">
      <c r="A418" s="8">
        <v>43516</v>
      </c>
      <c r="B418" s="9" t="s">
        <v>39</v>
      </c>
      <c r="C418" s="10"/>
      <c r="E418" s="8">
        <v>43516</v>
      </c>
      <c r="F418" s="11"/>
      <c r="G418" s="11">
        <f t="shared" si="7"/>
        <v>0</v>
      </c>
    </row>
    <row r="419" spans="1:7" ht="17">
      <c r="A419" s="8">
        <v>43517</v>
      </c>
      <c r="B419" s="9" t="s">
        <v>3</v>
      </c>
      <c r="C419" s="10"/>
      <c r="E419" s="8">
        <v>43517</v>
      </c>
      <c r="F419" s="11"/>
      <c r="G419" s="11">
        <f t="shared" si="7"/>
        <v>0</v>
      </c>
    </row>
    <row r="420" spans="1:7">
      <c r="A420" s="12">
        <v>43518</v>
      </c>
      <c r="B420" s="13"/>
      <c r="C420" s="14"/>
      <c r="E420" s="12">
        <v>43518</v>
      </c>
      <c r="F420" s="11"/>
      <c r="G420" s="11">
        <f t="shared" si="7"/>
        <v>0</v>
      </c>
    </row>
    <row r="421" spans="1:7">
      <c r="A421" s="12">
        <v>43519</v>
      </c>
      <c r="B421" s="13"/>
      <c r="C421" s="14"/>
      <c r="E421" s="12">
        <v>43519</v>
      </c>
      <c r="F421" s="11"/>
      <c r="G421" s="11">
        <f t="shared" si="7"/>
        <v>0</v>
      </c>
    </row>
    <row r="422" spans="1:7">
      <c r="A422" s="12">
        <v>43520</v>
      </c>
      <c r="B422" s="13"/>
      <c r="C422" s="14"/>
      <c r="E422" s="12">
        <v>43520</v>
      </c>
      <c r="F422" s="11"/>
      <c r="G422" s="11">
        <f t="shared" si="7"/>
        <v>0</v>
      </c>
    </row>
    <row r="423" spans="1:7">
      <c r="A423" s="12">
        <v>43521</v>
      </c>
      <c r="B423" s="13"/>
      <c r="C423" s="14"/>
      <c r="E423" s="12">
        <v>43521</v>
      </c>
      <c r="F423" s="11"/>
      <c r="G423" s="11">
        <f t="shared" si="7"/>
        <v>0</v>
      </c>
    </row>
    <row r="424" spans="1:7" ht="17">
      <c r="A424" s="8">
        <v>43522</v>
      </c>
      <c r="B424" s="9" t="s">
        <v>12</v>
      </c>
      <c r="C424" s="10" t="s">
        <v>68</v>
      </c>
      <c r="E424" s="8">
        <v>43522</v>
      </c>
      <c r="F424" s="11"/>
      <c r="G424" s="11">
        <f t="shared" si="7"/>
        <v>0</v>
      </c>
    </row>
    <row r="425" spans="1:7" ht="17">
      <c r="A425" s="8">
        <v>43523</v>
      </c>
      <c r="B425" s="9" t="s">
        <v>12</v>
      </c>
      <c r="C425" s="10" t="s">
        <v>68</v>
      </c>
      <c r="E425" s="8">
        <v>43523</v>
      </c>
      <c r="F425" s="11"/>
      <c r="G425" s="11">
        <f t="shared" si="7"/>
        <v>0</v>
      </c>
    </row>
    <row r="426" spans="1:7" ht="17">
      <c r="A426" s="8">
        <v>43524</v>
      </c>
      <c r="B426" s="9" t="s">
        <v>12</v>
      </c>
      <c r="C426" s="10" t="s">
        <v>68</v>
      </c>
      <c r="E426" s="8">
        <v>43524</v>
      </c>
      <c r="F426" s="11"/>
      <c r="G426" s="11">
        <f t="shared" si="7"/>
        <v>0</v>
      </c>
    </row>
    <row r="427" spans="1:7">
      <c r="A427" s="12">
        <v>43525</v>
      </c>
      <c r="B427" s="13"/>
      <c r="C427" s="14"/>
      <c r="E427" s="12">
        <v>43525</v>
      </c>
      <c r="F427" s="11"/>
      <c r="G427" s="11">
        <f t="shared" si="7"/>
        <v>0</v>
      </c>
    </row>
    <row r="428" spans="1:7">
      <c r="A428" s="12">
        <v>43526</v>
      </c>
      <c r="B428" s="13"/>
      <c r="C428" s="14"/>
      <c r="E428" s="12">
        <v>43526</v>
      </c>
      <c r="F428" s="11"/>
      <c r="G428" s="11">
        <f t="shared" si="7"/>
        <v>0</v>
      </c>
    </row>
    <row r="429" spans="1:7">
      <c r="A429" s="12">
        <v>43527</v>
      </c>
      <c r="B429" s="13"/>
      <c r="C429" s="14"/>
      <c r="E429" s="12">
        <v>43527</v>
      </c>
      <c r="F429" s="11"/>
      <c r="G429" s="11">
        <f t="shared" si="7"/>
        <v>0</v>
      </c>
    </row>
    <row r="430" spans="1:7">
      <c r="A430" s="12">
        <v>43528</v>
      </c>
      <c r="B430" s="13"/>
      <c r="C430" s="14"/>
      <c r="E430" s="12">
        <v>43528</v>
      </c>
      <c r="F430" s="11"/>
      <c r="G430" s="11">
        <f t="shared" si="7"/>
        <v>0</v>
      </c>
    </row>
    <row r="431" spans="1:7" ht="17">
      <c r="A431" s="8">
        <v>43529</v>
      </c>
      <c r="B431" s="9" t="s">
        <v>39</v>
      </c>
      <c r="C431" s="10"/>
      <c r="E431" s="8">
        <v>43529</v>
      </c>
      <c r="F431" s="11"/>
      <c r="G431" s="11">
        <f t="shared" si="7"/>
        <v>0</v>
      </c>
    </row>
    <row r="432" spans="1:7" ht="17">
      <c r="A432" s="8">
        <v>43530</v>
      </c>
      <c r="B432" s="9" t="s">
        <v>39</v>
      </c>
      <c r="C432" s="10"/>
      <c r="E432" s="8">
        <v>43530</v>
      </c>
      <c r="F432" s="11"/>
      <c r="G432" s="11">
        <f t="shared" si="7"/>
        <v>0</v>
      </c>
    </row>
    <row r="433" spans="1:8" ht="17">
      <c r="A433" s="8">
        <v>43531</v>
      </c>
      <c r="B433" s="9" t="s">
        <v>39</v>
      </c>
      <c r="C433" s="10" t="s">
        <v>67</v>
      </c>
      <c r="E433" s="8">
        <v>43531</v>
      </c>
      <c r="F433" s="11"/>
      <c r="G433" s="11">
        <f t="shared" si="7"/>
        <v>0</v>
      </c>
    </row>
    <row r="434" spans="1:8">
      <c r="A434" s="12">
        <v>43532</v>
      </c>
      <c r="B434" s="13"/>
      <c r="C434" s="14"/>
      <c r="E434" s="12">
        <v>43532</v>
      </c>
      <c r="F434" s="11"/>
      <c r="G434" s="11">
        <f t="shared" si="7"/>
        <v>0</v>
      </c>
    </row>
    <row r="435" spans="1:8">
      <c r="A435" s="12">
        <v>43533</v>
      </c>
      <c r="B435" s="13"/>
      <c r="C435" s="14"/>
      <c r="E435" s="12">
        <v>43533</v>
      </c>
      <c r="F435" s="11"/>
      <c r="G435" s="11">
        <f t="shared" si="7"/>
        <v>0</v>
      </c>
    </row>
    <row r="436" spans="1:8">
      <c r="A436" s="12">
        <v>43534</v>
      </c>
      <c r="B436" s="13"/>
      <c r="C436" s="14"/>
      <c r="E436" s="12">
        <v>43534</v>
      </c>
      <c r="F436" s="11"/>
      <c r="G436" s="11">
        <f t="shared" si="7"/>
        <v>0</v>
      </c>
    </row>
    <row r="437" spans="1:8">
      <c r="A437" s="12">
        <v>43535</v>
      </c>
      <c r="B437" s="13"/>
      <c r="C437" s="14"/>
      <c r="E437" s="12">
        <v>43535</v>
      </c>
      <c r="F437" s="11"/>
      <c r="G437" s="11">
        <f t="shared" si="7"/>
        <v>0</v>
      </c>
    </row>
    <row r="438" spans="1:8" ht="17">
      <c r="A438" s="8">
        <v>43536</v>
      </c>
      <c r="B438" s="9" t="s">
        <v>39</v>
      </c>
      <c r="C438" s="10"/>
      <c r="E438" s="8">
        <v>43536</v>
      </c>
      <c r="F438" s="11"/>
      <c r="G438" s="11">
        <f t="shared" si="7"/>
        <v>0</v>
      </c>
    </row>
    <row r="439" spans="1:8" ht="17">
      <c r="A439" s="8">
        <v>43537</v>
      </c>
      <c r="B439" s="9" t="s">
        <v>39</v>
      </c>
      <c r="C439" s="10"/>
      <c r="E439" s="8">
        <v>43537</v>
      </c>
      <c r="F439" s="11"/>
      <c r="G439" s="11">
        <f t="shared" si="7"/>
        <v>0</v>
      </c>
    </row>
    <row r="440" spans="1:8" ht="17">
      <c r="A440" s="8">
        <v>43538</v>
      </c>
      <c r="B440" s="9" t="s">
        <v>16</v>
      </c>
      <c r="C440" s="10" t="s">
        <v>66</v>
      </c>
      <c r="E440" s="8">
        <v>43538</v>
      </c>
      <c r="F440" s="11"/>
      <c r="G440" s="11">
        <f t="shared" si="7"/>
        <v>0</v>
      </c>
    </row>
    <row r="441" spans="1:8">
      <c r="A441" s="12">
        <v>43539</v>
      </c>
      <c r="B441" s="13"/>
      <c r="C441" s="14"/>
      <c r="E441" s="12">
        <v>43539</v>
      </c>
      <c r="F441" s="11"/>
      <c r="G441" s="11">
        <f t="shared" si="7"/>
        <v>0</v>
      </c>
    </row>
    <row r="442" spans="1:8">
      <c r="A442" s="12">
        <v>43540</v>
      </c>
      <c r="B442" s="13"/>
      <c r="C442" s="14"/>
      <c r="E442" s="12">
        <v>43540</v>
      </c>
      <c r="F442" s="11"/>
      <c r="G442" s="11">
        <f t="shared" si="7"/>
        <v>0</v>
      </c>
    </row>
    <row r="443" spans="1:8">
      <c r="A443" s="12">
        <v>43541</v>
      </c>
      <c r="B443" s="13"/>
      <c r="C443" s="14"/>
      <c r="E443" s="12">
        <v>43541</v>
      </c>
      <c r="F443" s="11"/>
      <c r="G443" s="11">
        <f t="shared" si="7"/>
        <v>0</v>
      </c>
    </row>
    <row r="444" spans="1:8">
      <c r="A444" s="12">
        <v>43542</v>
      </c>
      <c r="B444" s="13"/>
      <c r="C444" s="14"/>
      <c r="E444" s="12">
        <v>43542</v>
      </c>
      <c r="F444" s="11"/>
      <c r="G444" s="11">
        <f t="shared" si="7"/>
        <v>0</v>
      </c>
    </row>
    <row r="445" spans="1:8" ht="17">
      <c r="A445" s="8">
        <v>43543</v>
      </c>
      <c r="B445" s="9" t="s">
        <v>39</v>
      </c>
      <c r="C445" s="10" t="s">
        <v>73</v>
      </c>
      <c r="E445" s="8">
        <v>43543</v>
      </c>
      <c r="F445" s="11"/>
      <c r="G445" s="11">
        <f t="shared" si="7"/>
        <v>0</v>
      </c>
      <c r="H445" s="50"/>
    </row>
    <row r="446" spans="1:8" ht="17">
      <c r="A446" s="8">
        <v>43544</v>
      </c>
      <c r="B446" s="9" t="s">
        <v>39</v>
      </c>
      <c r="C446" s="10" t="s">
        <v>73</v>
      </c>
      <c r="E446" s="8">
        <v>43544</v>
      </c>
      <c r="F446" s="11"/>
      <c r="G446" s="11">
        <f t="shared" si="7"/>
        <v>0</v>
      </c>
    </row>
    <row r="447" spans="1:8" ht="17">
      <c r="A447" s="8">
        <v>43545</v>
      </c>
      <c r="B447" s="9" t="s">
        <v>3</v>
      </c>
      <c r="C447" s="10" t="s">
        <v>73</v>
      </c>
      <c r="E447" s="8">
        <v>43545</v>
      </c>
      <c r="F447" s="11"/>
      <c r="G447" s="11">
        <f t="shared" si="7"/>
        <v>0</v>
      </c>
    </row>
    <row r="448" spans="1:8">
      <c r="A448" s="12">
        <v>43546</v>
      </c>
      <c r="B448" s="13"/>
      <c r="C448" s="14"/>
      <c r="E448" s="12">
        <v>43546</v>
      </c>
      <c r="F448" s="11"/>
      <c r="G448" s="11">
        <f t="shared" si="7"/>
        <v>0</v>
      </c>
    </row>
    <row r="449" spans="1:7">
      <c r="A449" s="12">
        <v>43547</v>
      </c>
      <c r="B449" s="13"/>
      <c r="C449" s="14"/>
      <c r="E449" s="12">
        <v>43547</v>
      </c>
      <c r="F449" s="11"/>
      <c r="G449" s="11">
        <f t="shared" si="7"/>
        <v>0</v>
      </c>
    </row>
    <row r="450" spans="1:7">
      <c r="A450" s="12">
        <v>43548</v>
      </c>
      <c r="B450" s="13"/>
      <c r="C450" s="14"/>
      <c r="E450" s="12">
        <v>43548</v>
      </c>
      <c r="F450" s="11"/>
      <c r="G450" s="11">
        <f t="shared" si="7"/>
        <v>0</v>
      </c>
    </row>
    <row r="451" spans="1:7">
      <c r="A451" s="12">
        <v>43549</v>
      </c>
      <c r="B451" s="13"/>
      <c r="C451" s="14" t="s">
        <v>75</v>
      </c>
      <c r="E451" s="12">
        <v>43549</v>
      </c>
      <c r="F451" s="11"/>
      <c r="G451" s="11">
        <f t="shared" si="7"/>
        <v>0</v>
      </c>
    </row>
    <row r="452" spans="1:7" ht="17">
      <c r="A452" s="8">
        <v>43550</v>
      </c>
      <c r="B452" s="9" t="s">
        <v>1</v>
      </c>
      <c r="C452" s="10" t="s">
        <v>77</v>
      </c>
      <c r="E452" s="8">
        <v>43550</v>
      </c>
      <c r="F452" s="11"/>
      <c r="G452" s="11">
        <f t="shared" si="7"/>
        <v>0</v>
      </c>
    </row>
    <row r="453" spans="1:7" ht="17">
      <c r="A453" s="8">
        <v>43551</v>
      </c>
      <c r="B453" s="9" t="s">
        <v>1</v>
      </c>
      <c r="C453" s="10" t="s">
        <v>74</v>
      </c>
      <c r="E453" s="8">
        <v>43551</v>
      </c>
      <c r="F453" s="11"/>
      <c r="G453" s="11">
        <f t="shared" si="7"/>
        <v>0</v>
      </c>
    </row>
    <row r="454" spans="1:7" ht="17">
      <c r="A454" s="8">
        <v>43552</v>
      </c>
      <c r="B454" s="9" t="s">
        <v>1</v>
      </c>
      <c r="C454" s="10" t="s">
        <v>74</v>
      </c>
      <c r="E454" s="8">
        <v>43552</v>
      </c>
      <c r="F454" s="11"/>
      <c r="G454" s="11">
        <f t="shared" si="7"/>
        <v>0</v>
      </c>
    </row>
    <row r="455" spans="1:7">
      <c r="A455" s="12">
        <v>43553</v>
      </c>
      <c r="B455" s="13"/>
      <c r="C455" s="14"/>
      <c r="E455" s="12">
        <v>43553</v>
      </c>
      <c r="F455" s="11"/>
      <c r="G455" s="11">
        <f t="shared" si="7"/>
        <v>0</v>
      </c>
    </row>
    <row r="456" spans="1:7">
      <c r="A456" s="12">
        <v>43554</v>
      </c>
      <c r="B456" s="13"/>
      <c r="C456" s="14"/>
      <c r="E456" s="12">
        <v>43554</v>
      </c>
      <c r="F456" s="11"/>
      <c r="G456" s="11">
        <f t="shared" si="7"/>
        <v>0</v>
      </c>
    </row>
    <row r="457" spans="1:7">
      <c r="A457" s="12">
        <v>43555</v>
      </c>
      <c r="B457" s="13"/>
      <c r="C457" s="14"/>
      <c r="E457" s="12">
        <v>43555</v>
      </c>
      <c r="F457" s="11"/>
      <c r="G457" s="11">
        <f t="shared" si="7"/>
        <v>0</v>
      </c>
    </row>
    <row r="458" spans="1:7">
      <c r="A458" s="12">
        <v>43556</v>
      </c>
      <c r="B458" s="13"/>
      <c r="C458" s="14"/>
      <c r="E458" s="12">
        <v>43556</v>
      </c>
      <c r="F458" s="11"/>
      <c r="G458" s="11">
        <f t="shared" si="7"/>
        <v>0</v>
      </c>
    </row>
    <row r="459" spans="1:7" ht="17">
      <c r="A459" s="8">
        <v>43557</v>
      </c>
      <c r="B459" s="9" t="s">
        <v>39</v>
      </c>
      <c r="C459" s="10" t="s">
        <v>73</v>
      </c>
      <c r="E459" s="8">
        <v>43557</v>
      </c>
      <c r="F459" s="11"/>
      <c r="G459" s="11">
        <f t="shared" si="7"/>
        <v>0</v>
      </c>
    </row>
    <row r="460" spans="1:7" ht="17">
      <c r="A460" s="8">
        <v>43558</v>
      </c>
      <c r="B460" s="9" t="s">
        <v>39</v>
      </c>
      <c r="C460" s="10" t="s">
        <v>73</v>
      </c>
      <c r="E460" s="8">
        <v>43558</v>
      </c>
      <c r="F460" s="11"/>
      <c r="G460" s="11">
        <f t="shared" si="7"/>
        <v>0</v>
      </c>
    </row>
    <row r="461" spans="1:7" ht="17">
      <c r="A461" s="8">
        <v>43559</v>
      </c>
      <c r="B461" s="9" t="s">
        <v>3</v>
      </c>
      <c r="C461" s="10" t="s">
        <v>73</v>
      </c>
      <c r="E461" s="8">
        <v>43559</v>
      </c>
      <c r="F461" s="11"/>
      <c r="G461" s="11">
        <f t="shared" si="7"/>
        <v>0</v>
      </c>
    </row>
    <row r="462" spans="1:7">
      <c r="A462" s="12">
        <v>43560</v>
      </c>
      <c r="B462" s="13"/>
      <c r="C462" s="14"/>
      <c r="E462" s="12">
        <v>43560</v>
      </c>
      <c r="F462" s="11"/>
      <c r="G462" s="11">
        <f t="shared" si="7"/>
        <v>0</v>
      </c>
    </row>
    <row r="463" spans="1:7">
      <c r="A463" s="12">
        <v>43561</v>
      </c>
      <c r="B463" s="13"/>
      <c r="C463" s="14" t="s">
        <v>25</v>
      </c>
      <c r="E463" s="12">
        <v>43561</v>
      </c>
      <c r="F463" s="11"/>
      <c r="G463" s="11">
        <f t="shared" si="7"/>
        <v>0</v>
      </c>
    </row>
    <row r="464" spans="1:7">
      <c r="A464" s="12">
        <v>43562</v>
      </c>
      <c r="B464" s="13"/>
      <c r="C464" s="14"/>
      <c r="E464" s="12">
        <v>43562</v>
      </c>
      <c r="F464" s="11"/>
      <c r="G464" s="11">
        <f t="shared" si="7"/>
        <v>0</v>
      </c>
    </row>
    <row r="465" spans="1:7">
      <c r="A465" s="12">
        <v>43563</v>
      </c>
      <c r="B465" s="13"/>
      <c r="C465" s="14"/>
      <c r="E465" s="12">
        <v>43563</v>
      </c>
      <c r="F465" s="11"/>
      <c r="G465" s="11">
        <f t="shared" si="7"/>
        <v>0</v>
      </c>
    </row>
    <row r="466" spans="1:7" ht="17">
      <c r="A466" s="8">
        <v>43564</v>
      </c>
      <c r="B466" s="9" t="s">
        <v>4</v>
      </c>
      <c r="C466" s="10" t="s">
        <v>2</v>
      </c>
      <c r="E466" s="8">
        <v>43564</v>
      </c>
      <c r="F466" s="11"/>
      <c r="G466" s="11">
        <f t="shared" si="7"/>
        <v>0</v>
      </c>
    </row>
    <row r="467" spans="1:7" ht="17">
      <c r="A467" s="8">
        <v>43565</v>
      </c>
      <c r="B467" s="9" t="s">
        <v>1</v>
      </c>
      <c r="C467" s="10" t="s">
        <v>72</v>
      </c>
      <c r="E467" s="8">
        <v>43565</v>
      </c>
      <c r="F467" s="11"/>
      <c r="G467" s="11">
        <f t="shared" ref="G467:G468" si="8">G466+F467</f>
        <v>0</v>
      </c>
    </row>
    <row r="468" spans="1:7" ht="17">
      <c r="A468" s="8">
        <v>43566</v>
      </c>
      <c r="B468" s="9" t="s">
        <v>1</v>
      </c>
      <c r="C468" s="10" t="s">
        <v>72</v>
      </c>
      <c r="E468" s="8">
        <v>43566</v>
      </c>
      <c r="F468" s="11"/>
      <c r="G468" s="11">
        <f t="shared" si="8"/>
        <v>0</v>
      </c>
    </row>
    <row r="469" spans="1:7">
      <c r="A469" s="12">
        <v>43567</v>
      </c>
      <c r="B469" s="13"/>
      <c r="C469" s="14"/>
      <c r="E469" s="12">
        <v>43567</v>
      </c>
      <c r="F469" s="11"/>
      <c r="G469" s="11"/>
    </row>
    <row r="470" spans="1:7">
      <c r="A470" s="12">
        <v>43568</v>
      </c>
      <c r="B470" s="13"/>
      <c r="C470" s="14"/>
      <c r="E470" s="12">
        <v>43568</v>
      </c>
      <c r="F470" s="11"/>
      <c r="G470" s="11"/>
    </row>
    <row r="471" spans="1:7">
      <c r="A471" s="12">
        <v>43569</v>
      </c>
      <c r="B471" s="13"/>
      <c r="C471" s="14"/>
      <c r="E471" s="12">
        <v>43569</v>
      </c>
      <c r="F471" s="11"/>
      <c r="G471" s="11"/>
    </row>
    <row r="472" spans="1:7">
      <c r="A472" s="12">
        <v>43570</v>
      </c>
      <c r="B472" s="13"/>
      <c r="C472" s="14"/>
      <c r="E472" s="12">
        <v>43570</v>
      </c>
      <c r="F472" s="11"/>
      <c r="G472" s="11"/>
    </row>
    <row r="473" spans="1:7" ht="17">
      <c r="A473" s="8">
        <v>43571</v>
      </c>
      <c r="B473" s="9" t="s">
        <v>39</v>
      </c>
      <c r="C473" s="10" t="s">
        <v>73</v>
      </c>
      <c r="E473" s="8">
        <v>43571</v>
      </c>
      <c r="F473" s="11"/>
      <c r="G473" s="11"/>
    </row>
    <row r="474" spans="1:7" ht="17">
      <c r="A474" s="8">
        <v>43572</v>
      </c>
      <c r="B474" s="9" t="s">
        <v>39</v>
      </c>
      <c r="C474" s="10" t="s">
        <v>73</v>
      </c>
      <c r="E474" s="8">
        <v>43572</v>
      </c>
      <c r="F474" s="11"/>
      <c r="G474" s="11"/>
    </row>
    <row r="475" spans="1:7" ht="17">
      <c r="A475" s="8">
        <v>43573</v>
      </c>
      <c r="B475" s="9" t="s">
        <v>3</v>
      </c>
      <c r="C475" s="10" t="s">
        <v>78</v>
      </c>
      <c r="E475" s="8">
        <v>43573</v>
      </c>
      <c r="F475" s="11"/>
      <c r="G475" s="11"/>
    </row>
    <row r="476" spans="1:7">
      <c r="A476" s="12">
        <v>43574</v>
      </c>
      <c r="B476" s="13"/>
      <c r="C476" s="14"/>
      <c r="E476" s="12">
        <v>43574</v>
      </c>
      <c r="F476" s="11"/>
      <c r="G476" s="11"/>
    </row>
    <row r="477" spans="1:7">
      <c r="A477" s="12">
        <v>43575</v>
      </c>
      <c r="B477" s="13"/>
      <c r="C477" s="14"/>
      <c r="E477" s="12">
        <v>43575</v>
      </c>
      <c r="F477" s="11"/>
      <c r="G477" s="11"/>
    </row>
    <row r="478" spans="1:7">
      <c r="A478" s="12">
        <v>43576</v>
      </c>
      <c r="B478" s="13"/>
      <c r="C478" s="14"/>
      <c r="E478" s="12">
        <v>43576</v>
      </c>
      <c r="F478" s="11"/>
      <c r="G478" s="11"/>
    </row>
    <row r="479" spans="1:7">
      <c r="A479" s="12">
        <v>43577</v>
      </c>
      <c r="B479" s="13"/>
      <c r="C479" s="14"/>
      <c r="E479" s="12">
        <v>43577</v>
      </c>
      <c r="F479" s="11"/>
      <c r="G479" s="11"/>
    </row>
    <row r="480" spans="1:7" ht="17">
      <c r="A480" s="8">
        <v>43578</v>
      </c>
      <c r="B480" s="9" t="s">
        <v>39</v>
      </c>
      <c r="C480" s="10"/>
      <c r="E480" s="8">
        <v>43578</v>
      </c>
      <c r="F480" s="11"/>
      <c r="G480" s="11"/>
    </row>
    <row r="481" spans="1:7" ht="17">
      <c r="A481" s="8">
        <v>43579</v>
      </c>
      <c r="B481" s="9" t="s">
        <v>39</v>
      </c>
      <c r="C481" s="10"/>
      <c r="E481" s="8">
        <v>43579</v>
      </c>
      <c r="F481" s="11"/>
      <c r="G481" s="11"/>
    </row>
    <row r="482" spans="1:7" ht="17">
      <c r="A482" s="8">
        <v>43580</v>
      </c>
      <c r="B482" s="9" t="s">
        <v>3</v>
      </c>
      <c r="C482" s="10"/>
      <c r="E482" s="8">
        <v>43580</v>
      </c>
      <c r="F482" s="11"/>
      <c r="G482" s="11"/>
    </row>
    <row r="483" spans="1:7">
      <c r="A483" s="12">
        <v>43581</v>
      </c>
      <c r="B483" s="13"/>
      <c r="C483" s="14"/>
      <c r="E483" s="12">
        <v>43581</v>
      </c>
      <c r="F483" s="11"/>
      <c r="G483" s="11"/>
    </row>
    <row r="484" spans="1:7">
      <c r="A484" s="12">
        <v>43582</v>
      </c>
      <c r="B484" s="13"/>
      <c r="C484" s="14"/>
      <c r="E484" s="12">
        <v>43582</v>
      </c>
      <c r="F484" s="11"/>
      <c r="G484" s="11"/>
    </row>
    <row r="485" spans="1:7">
      <c r="A485" s="12">
        <v>43583</v>
      </c>
      <c r="B485" s="13"/>
      <c r="C485" s="14"/>
      <c r="E485" s="12">
        <v>43583</v>
      </c>
      <c r="F485" s="11"/>
      <c r="G485" s="11"/>
    </row>
    <row r="486" spans="1:7">
      <c r="A486" s="12">
        <v>43584</v>
      </c>
      <c r="B486" s="13"/>
      <c r="C486" s="14"/>
      <c r="E486" s="12">
        <v>43584</v>
      </c>
      <c r="F486" s="11"/>
      <c r="G486" s="11"/>
    </row>
    <row r="487" spans="1:7" ht="17">
      <c r="A487" s="8">
        <v>43585</v>
      </c>
      <c r="B487" s="9" t="s">
        <v>4</v>
      </c>
      <c r="C487" s="10" t="s">
        <v>69</v>
      </c>
      <c r="E487" s="8">
        <v>43585</v>
      </c>
      <c r="F487" s="11"/>
      <c r="G487" s="11"/>
    </row>
    <row r="488" spans="1:7" ht="17">
      <c r="A488" s="8">
        <v>43586</v>
      </c>
      <c r="B488" s="9" t="s">
        <v>1</v>
      </c>
      <c r="C488" s="10" t="s">
        <v>72</v>
      </c>
      <c r="E488" s="8">
        <v>43586</v>
      </c>
      <c r="F488" s="11"/>
      <c r="G488" s="11"/>
    </row>
    <row r="489" spans="1:7" ht="17">
      <c r="A489" s="8">
        <v>43587</v>
      </c>
      <c r="B489" s="9" t="s">
        <v>1</v>
      </c>
      <c r="C489" s="10" t="s">
        <v>72</v>
      </c>
      <c r="E489" s="8">
        <v>43587</v>
      </c>
      <c r="F489" s="11"/>
      <c r="G489" s="11"/>
    </row>
    <row r="490" spans="1:7">
      <c r="A490" s="12">
        <v>43588</v>
      </c>
      <c r="B490" s="13"/>
      <c r="C490" s="14"/>
      <c r="E490" s="12">
        <v>43588</v>
      </c>
      <c r="F490" s="11"/>
      <c r="G490" s="11"/>
    </row>
    <row r="491" spans="1:7">
      <c r="A491" s="12">
        <v>43589</v>
      </c>
      <c r="B491" s="13"/>
      <c r="C491" s="14"/>
      <c r="E491" s="12">
        <v>43589</v>
      </c>
      <c r="F491" s="11"/>
      <c r="G491" s="11"/>
    </row>
    <row r="492" spans="1:7">
      <c r="A492" s="12">
        <v>43590</v>
      </c>
      <c r="B492" s="13"/>
      <c r="C492" s="14"/>
      <c r="E492" s="12">
        <v>43590</v>
      </c>
      <c r="F492" s="11"/>
      <c r="G492" s="11"/>
    </row>
    <row r="493" spans="1:7">
      <c r="A493" s="12">
        <v>43591</v>
      </c>
      <c r="B493" s="13"/>
      <c r="C493" s="14"/>
      <c r="E493" s="12">
        <v>43591</v>
      </c>
      <c r="F493" s="11"/>
      <c r="G493" s="11"/>
    </row>
    <row r="494" spans="1:7" ht="17">
      <c r="A494" s="8">
        <v>43592</v>
      </c>
      <c r="B494" s="9" t="s">
        <v>4</v>
      </c>
      <c r="C494" s="10" t="s">
        <v>70</v>
      </c>
      <c r="E494" s="8">
        <v>43592</v>
      </c>
      <c r="F494" s="11"/>
      <c r="G494" s="11"/>
    </row>
    <row r="495" spans="1:7" ht="17">
      <c r="A495" s="8">
        <v>43593</v>
      </c>
      <c r="B495" s="9" t="s">
        <v>88</v>
      </c>
      <c r="C495" s="10"/>
      <c r="E495" s="8">
        <v>43593</v>
      </c>
      <c r="F495" s="11"/>
      <c r="G495" s="11"/>
    </row>
    <row r="496" spans="1:7" ht="17">
      <c r="A496" s="8">
        <v>43594</v>
      </c>
      <c r="B496" s="9" t="s">
        <v>1</v>
      </c>
      <c r="C496" s="10"/>
      <c r="E496" s="8">
        <v>43594</v>
      </c>
      <c r="F496" s="11"/>
      <c r="G496" s="11"/>
    </row>
    <row r="497" spans="1:7">
      <c r="A497" s="12">
        <v>43595</v>
      </c>
      <c r="B497" s="13"/>
      <c r="C497" s="14"/>
      <c r="E497" s="12">
        <v>43595</v>
      </c>
      <c r="F497" s="11"/>
      <c r="G497" s="11"/>
    </row>
    <row r="498" spans="1:7">
      <c r="A498" s="12">
        <v>43596</v>
      </c>
      <c r="B498" s="13"/>
      <c r="C498" s="14"/>
      <c r="E498" s="12">
        <v>43596</v>
      </c>
      <c r="F498" s="11"/>
      <c r="G498" s="11"/>
    </row>
    <row r="499" spans="1:7">
      <c r="A499" s="12">
        <v>43597</v>
      </c>
      <c r="B499" s="13"/>
      <c r="C499" s="14"/>
      <c r="E499" s="12">
        <v>43597</v>
      </c>
      <c r="F499" s="11"/>
      <c r="G499" s="11"/>
    </row>
    <row r="500" spans="1:7">
      <c r="A500" s="12">
        <v>43598</v>
      </c>
      <c r="B500" s="13"/>
      <c r="C500" s="14"/>
      <c r="E500" s="12">
        <v>43598</v>
      </c>
      <c r="F500" s="11"/>
      <c r="G500" s="11"/>
    </row>
    <row r="501" spans="1:7" ht="17">
      <c r="A501" s="8">
        <v>43599</v>
      </c>
      <c r="B501" s="9" t="s">
        <v>1</v>
      </c>
      <c r="C501" s="10" t="s">
        <v>79</v>
      </c>
      <c r="E501" s="8">
        <v>43599</v>
      </c>
      <c r="F501" s="11"/>
      <c r="G501" s="11"/>
    </row>
    <row r="502" spans="1:7" ht="17">
      <c r="A502" s="8">
        <v>43600</v>
      </c>
      <c r="B502" s="9" t="s">
        <v>1</v>
      </c>
      <c r="C502" s="10" t="s">
        <v>79</v>
      </c>
      <c r="E502" s="8">
        <v>43600</v>
      </c>
      <c r="F502" s="11"/>
      <c r="G502" s="11"/>
    </row>
    <row r="503" spans="1:7" ht="17">
      <c r="A503" s="8">
        <v>43601</v>
      </c>
      <c r="B503" s="9" t="s">
        <v>1</v>
      </c>
      <c r="C503" s="10" t="s">
        <v>79</v>
      </c>
      <c r="E503" s="8">
        <v>43601</v>
      </c>
      <c r="F503" s="11"/>
      <c r="G503" s="11"/>
    </row>
    <row r="504" spans="1:7">
      <c r="A504" s="12">
        <v>43602</v>
      </c>
      <c r="B504" s="13"/>
      <c r="C504" s="14"/>
      <c r="E504" s="12">
        <v>43602</v>
      </c>
      <c r="F504" s="11"/>
      <c r="G504" s="11"/>
    </row>
    <row r="505" spans="1:7">
      <c r="A505" s="12">
        <v>43603</v>
      </c>
      <c r="B505" s="13"/>
      <c r="C505" s="14"/>
      <c r="E505" s="12">
        <v>43603</v>
      </c>
      <c r="F505" s="11"/>
      <c r="G505" s="11"/>
    </row>
    <row r="506" spans="1:7">
      <c r="A506" s="12">
        <v>43604</v>
      </c>
      <c r="B506" s="13"/>
      <c r="C506" s="14"/>
      <c r="E506" s="12">
        <v>43604</v>
      </c>
      <c r="F506" s="11"/>
      <c r="G506" s="11"/>
    </row>
    <row r="507" spans="1:7">
      <c r="A507" s="12">
        <v>43605</v>
      </c>
      <c r="B507" s="13"/>
      <c r="C507" s="14"/>
      <c r="E507" s="12">
        <v>43605</v>
      </c>
      <c r="F507" s="11"/>
      <c r="G507" s="11"/>
    </row>
    <row r="508" spans="1:7">
      <c r="A508" s="8">
        <v>43606</v>
      </c>
      <c r="B508" s="9"/>
      <c r="C508" s="10" t="s">
        <v>76</v>
      </c>
      <c r="E508" s="8">
        <v>43606</v>
      </c>
      <c r="F508" s="11"/>
      <c r="G508" s="11"/>
    </row>
    <row r="509" spans="1:7">
      <c r="A509" s="8">
        <v>43607</v>
      </c>
      <c r="B509" s="9"/>
      <c r="C509" s="10" t="s">
        <v>76</v>
      </c>
      <c r="E509" s="8">
        <v>43607</v>
      </c>
      <c r="F509" s="11"/>
      <c r="G509" s="11"/>
    </row>
    <row r="510" spans="1:7">
      <c r="A510" s="8">
        <v>43608</v>
      </c>
      <c r="B510" s="9"/>
      <c r="C510" s="10" t="s">
        <v>76</v>
      </c>
      <c r="E510" s="8">
        <v>43608</v>
      </c>
      <c r="F510" s="11"/>
      <c r="G510" s="11"/>
    </row>
    <row r="511" spans="1:7">
      <c r="A511" s="12">
        <v>43609</v>
      </c>
      <c r="B511" s="13"/>
      <c r="C511" s="14"/>
      <c r="E511" s="12">
        <v>43609</v>
      </c>
      <c r="F511" s="11"/>
      <c r="G511" s="11"/>
    </row>
    <row r="512" spans="1:7">
      <c r="A512" s="12">
        <v>43610</v>
      </c>
      <c r="B512" s="13"/>
      <c r="C512" s="14"/>
      <c r="E512" s="12">
        <v>43610</v>
      </c>
      <c r="F512" s="11"/>
      <c r="G512" s="11"/>
    </row>
    <row r="513" spans="1:7">
      <c r="A513" s="12">
        <v>43611</v>
      </c>
      <c r="B513" s="13"/>
      <c r="C513" s="14"/>
      <c r="E513" s="12">
        <v>43611</v>
      </c>
      <c r="F513" s="11"/>
      <c r="G513" s="11"/>
    </row>
    <row r="514" spans="1:7">
      <c r="A514" s="12">
        <v>43612</v>
      </c>
      <c r="B514" s="13"/>
      <c r="C514" s="14"/>
      <c r="E514" s="12">
        <v>43612</v>
      </c>
      <c r="F514" s="11"/>
      <c r="G514" s="11"/>
    </row>
    <row r="515" spans="1:7" ht="17">
      <c r="A515" s="8">
        <v>43613</v>
      </c>
      <c r="B515" s="9" t="s">
        <v>4</v>
      </c>
      <c r="C515" s="10" t="s">
        <v>71</v>
      </c>
      <c r="E515" s="8">
        <v>43613</v>
      </c>
      <c r="F515" s="11"/>
      <c r="G515" s="11"/>
    </row>
    <row r="516" spans="1:7">
      <c r="A516" s="8">
        <v>43614</v>
      </c>
      <c r="B516" s="9"/>
      <c r="C516" s="10" t="s">
        <v>76</v>
      </c>
      <c r="E516" s="8">
        <v>43614</v>
      </c>
      <c r="F516" s="11"/>
      <c r="G516" s="11"/>
    </row>
    <row r="517" spans="1:7">
      <c r="A517" s="8">
        <v>43615</v>
      </c>
      <c r="B517" s="9"/>
      <c r="C517" s="10" t="s">
        <v>76</v>
      </c>
      <c r="E517" s="8">
        <v>43615</v>
      </c>
      <c r="F517" s="11"/>
      <c r="G517" s="11"/>
    </row>
    <row r="518" spans="1:7">
      <c r="A518" s="12">
        <v>43616</v>
      </c>
      <c r="B518" s="13"/>
      <c r="C518" s="14"/>
      <c r="E518" s="12">
        <v>43616</v>
      </c>
      <c r="F518" s="11"/>
      <c r="G518" s="11"/>
    </row>
    <row r="519" spans="1:7">
      <c r="A519" s="12">
        <v>43617</v>
      </c>
      <c r="B519" s="13"/>
      <c r="C519" s="14"/>
      <c r="E519" s="12">
        <v>43617</v>
      </c>
      <c r="F519" s="11"/>
      <c r="G519" s="11"/>
    </row>
    <row r="520" spans="1:7">
      <c r="A520" s="12">
        <v>43618</v>
      </c>
      <c r="B520" s="13"/>
      <c r="C520" s="14"/>
      <c r="E520" s="12">
        <v>43618</v>
      </c>
      <c r="F520" s="11"/>
      <c r="G520" s="11"/>
    </row>
    <row r="521" spans="1:7">
      <c r="A521" s="12">
        <v>43619</v>
      </c>
      <c r="B521" s="13"/>
      <c r="C521" s="14"/>
      <c r="E521" s="12">
        <v>43619</v>
      </c>
      <c r="F521" s="11"/>
      <c r="G521" s="11"/>
    </row>
    <row r="522" spans="1:7" ht="17">
      <c r="A522" s="8">
        <v>43620</v>
      </c>
      <c r="B522" s="9" t="s">
        <v>39</v>
      </c>
      <c r="C522" s="10" t="s">
        <v>78</v>
      </c>
      <c r="E522" s="8">
        <v>43620</v>
      </c>
      <c r="F522" s="11"/>
      <c r="G522" s="11"/>
    </row>
    <row r="523" spans="1:7" ht="17">
      <c r="A523" s="8">
        <v>43621</v>
      </c>
      <c r="B523" s="9" t="s">
        <v>39</v>
      </c>
      <c r="C523" s="10"/>
      <c r="E523" s="8">
        <v>43621</v>
      </c>
      <c r="F523" s="11"/>
      <c r="G523" s="11"/>
    </row>
    <row r="524" spans="1:7" ht="17">
      <c r="A524" s="8">
        <v>43622</v>
      </c>
      <c r="B524" s="9" t="s">
        <v>39</v>
      </c>
      <c r="C524" s="10" t="s">
        <v>80</v>
      </c>
      <c r="E524" s="8">
        <v>43622</v>
      </c>
      <c r="F524" s="11"/>
      <c r="G524" s="11"/>
    </row>
    <row r="525" spans="1:7">
      <c r="A525" s="12">
        <v>43623</v>
      </c>
      <c r="B525" s="13"/>
      <c r="C525" s="14"/>
      <c r="E525" s="12">
        <v>43623</v>
      </c>
      <c r="F525" s="11"/>
      <c r="G525" s="11"/>
    </row>
    <row r="526" spans="1:7">
      <c r="A526" s="12">
        <v>43624</v>
      </c>
      <c r="B526" s="13"/>
      <c r="C526" s="14"/>
      <c r="E526" s="12">
        <v>43624</v>
      </c>
      <c r="F526" s="11"/>
      <c r="G526" s="11"/>
    </row>
    <row r="527" spans="1:7">
      <c r="A527" s="12">
        <v>43625</v>
      </c>
      <c r="B527" s="13"/>
      <c r="C527" s="14"/>
      <c r="E527" s="12">
        <v>43625</v>
      </c>
      <c r="F527" s="11"/>
      <c r="G527" s="11"/>
    </row>
    <row r="528" spans="1:7">
      <c r="A528" s="12">
        <v>43626</v>
      </c>
      <c r="B528" s="13"/>
      <c r="C528" s="14"/>
      <c r="E528" s="12">
        <v>43626</v>
      </c>
      <c r="F528" s="11"/>
      <c r="G528" s="11"/>
    </row>
    <row r="529" spans="1:7" ht="17">
      <c r="A529" s="8">
        <v>43627</v>
      </c>
      <c r="B529" s="9" t="s">
        <v>39</v>
      </c>
      <c r="C529" s="10"/>
      <c r="E529" s="8">
        <v>43627</v>
      </c>
      <c r="F529" s="11"/>
      <c r="G529" s="11"/>
    </row>
    <row r="530" spans="1:7" ht="17">
      <c r="A530" s="8">
        <v>43628</v>
      </c>
      <c r="B530" s="9" t="s">
        <v>39</v>
      </c>
      <c r="C530" s="10"/>
      <c r="E530" s="8">
        <v>43628</v>
      </c>
      <c r="F530" s="11"/>
      <c r="G530" s="11"/>
    </row>
    <row r="531" spans="1:7" ht="17">
      <c r="A531" s="8">
        <v>43629</v>
      </c>
      <c r="B531" s="9" t="s">
        <v>3</v>
      </c>
      <c r="C531" s="10"/>
      <c r="E531" s="8">
        <v>43629</v>
      </c>
      <c r="F531" s="11"/>
      <c r="G531" s="11"/>
    </row>
    <row r="532" spans="1:7">
      <c r="A532" s="12">
        <v>43630</v>
      </c>
      <c r="B532" s="13"/>
      <c r="C532" s="14"/>
      <c r="E532" s="12">
        <v>43630</v>
      </c>
      <c r="F532" s="11"/>
      <c r="G532" s="11"/>
    </row>
    <row r="533" spans="1:7">
      <c r="A533" s="12">
        <v>43631</v>
      </c>
      <c r="B533" s="13"/>
      <c r="C533" s="14"/>
      <c r="E533" s="12">
        <v>43631</v>
      </c>
      <c r="F533" s="11"/>
      <c r="G533" s="11"/>
    </row>
    <row r="534" spans="1:7">
      <c r="A534" s="12">
        <v>43632</v>
      </c>
      <c r="B534" s="13"/>
      <c r="C534" s="14"/>
      <c r="E534" s="12">
        <v>43632</v>
      </c>
      <c r="F534" s="11"/>
      <c r="G534" s="11"/>
    </row>
    <row r="535" spans="1:7">
      <c r="A535" s="12">
        <v>43633</v>
      </c>
      <c r="B535" s="13"/>
      <c r="C535" s="14"/>
      <c r="E535" s="12">
        <v>43633</v>
      </c>
      <c r="F535" s="11"/>
      <c r="G535" s="11"/>
    </row>
    <row r="536" spans="1:7" ht="17">
      <c r="A536" s="8">
        <v>43634</v>
      </c>
      <c r="B536" s="9" t="s">
        <v>39</v>
      </c>
      <c r="C536" s="10" t="s">
        <v>78</v>
      </c>
      <c r="E536" s="8">
        <v>43634</v>
      </c>
      <c r="F536" s="11"/>
      <c r="G536" s="11"/>
    </row>
    <row r="537" spans="1:7" ht="17">
      <c r="A537" s="8">
        <v>43635</v>
      </c>
      <c r="B537" s="9" t="s">
        <v>39</v>
      </c>
      <c r="C537" s="10"/>
      <c r="E537" s="8">
        <v>43635</v>
      </c>
      <c r="F537" s="11"/>
      <c r="G537" s="11"/>
    </row>
    <row r="538" spans="1:7" ht="17">
      <c r="A538" s="8">
        <v>43636</v>
      </c>
      <c r="B538" s="9" t="s">
        <v>3</v>
      </c>
      <c r="C538" s="10"/>
      <c r="E538" s="8">
        <v>43636</v>
      </c>
      <c r="F538" s="11"/>
      <c r="G538" s="11"/>
    </row>
    <row r="539" spans="1:7">
      <c r="A539" s="12">
        <v>43637</v>
      </c>
      <c r="B539" s="13"/>
      <c r="C539" s="14"/>
      <c r="E539" s="12">
        <v>43637</v>
      </c>
      <c r="F539" s="11"/>
      <c r="G539" s="11"/>
    </row>
    <row r="540" spans="1:7">
      <c r="A540" s="12">
        <v>43638</v>
      </c>
      <c r="B540" s="13"/>
      <c r="C540" s="14"/>
      <c r="E540" s="12">
        <v>43638</v>
      </c>
      <c r="F540" s="11"/>
      <c r="G540" s="11"/>
    </row>
    <row r="541" spans="1:7">
      <c r="A541" s="12">
        <v>43639</v>
      </c>
      <c r="B541" s="13"/>
      <c r="C541" s="14"/>
      <c r="E541" s="12">
        <v>43639</v>
      </c>
      <c r="F541" s="11"/>
      <c r="G541" s="11"/>
    </row>
    <row r="542" spans="1:7">
      <c r="A542" s="12">
        <v>43640</v>
      </c>
      <c r="B542" s="13"/>
      <c r="C542" s="14"/>
      <c r="E542" s="12">
        <v>43640</v>
      </c>
      <c r="F542" s="11"/>
      <c r="G542" s="11"/>
    </row>
    <row r="543" spans="1:7" ht="17">
      <c r="A543" s="8">
        <v>43641</v>
      </c>
      <c r="B543" s="9" t="s">
        <v>39</v>
      </c>
      <c r="C543" s="10"/>
      <c r="E543" s="8">
        <v>43641</v>
      </c>
      <c r="F543" s="11"/>
      <c r="G543" s="11"/>
    </row>
    <row r="544" spans="1:7" ht="17">
      <c r="A544" s="8">
        <v>43642</v>
      </c>
      <c r="B544" s="9" t="s">
        <v>39</v>
      </c>
      <c r="C544" s="10"/>
      <c r="E544" s="8">
        <v>43642</v>
      </c>
      <c r="F544" s="11"/>
      <c r="G544" s="11"/>
    </row>
    <row r="545" spans="1:7" ht="17">
      <c r="A545" s="8">
        <v>43643</v>
      </c>
      <c r="B545" s="9" t="s">
        <v>3</v>
      </c>
      <c r="C545" s="10"/>
      <c r="E545" s="8">
        <v>43643</v>
      </c>
      <c r="F545" s="11"/>
      <c r="G545" s="11"/>
    </row>
    <row r="546" spans="1:7">
      <c r="A546" s="12">
        <v>43644</v>
      </c>
      <c r="B546" s="13"/>
      <c r="C546" s="14"/>
      <c r="E546" s="12">
        <v>43644</v>
      </c>
      <c r="F546" s="11"/>
      <c r="G546" s="11"/>
    </row>
    <row r="547" spans="1:7">
      <c r="A547" s="12">
        <v>43645</v>
      </c>
      <c r="B547" s="13"/>
      <c r="C547" s="14"/>
      <c r="E547" s="12">
        <v>43645</v>
      </c>
      <c r="F547" s="11"/>
      <c r="G547" s="11"/>
    </row>
    <row r="548" spans="1:7">
      <c r="A548" s="12">
        <v>43646</v>
      </c>
      <c r="B548" s="13"/>
      <c r="C548" s="14"/>
      <c r="E548" s="12">
        <v>43646</v>
      </c>
      <c r="F548" s="11"/>
      <c r="G548" s="11"/>
    </row>
    <row r="549" spans="1:7">
      <c r="A549" s="12">
        <v>43647</v>
      </c>
      <c r="B549" s="13"/>
      <c r="C549" s="14"/>
      <c r="E549" s="12">
        <v>43647</v>
      </c>
      <c r="F549" s="11"/>
      <c r="G549" s="11"/>
    </row>
    <row r="550" spans="1:7" ht="17">
      <c r="A550" s="8">
        <v>43648</v>
      </c>
      <c r="B550" s="9" t="s">
        <v>39</v>
      </c>
      <c r="C550" s="10"/>
      <c r="E550" s="8">
        <v>43648</v>
      </c>
      <c r="F550" s="11"/>
      <c r="G550" s="11"/>
    </row>
    <row r="551" spans="1:7" ht="17">
      <c r="A551" s="8">
        <v>43649</v>
      </c>
      <c r="B551" s="9" t="s">
        <v>39</v>
      </c>
      <c r="C551" s="10"/>
      <c r="E551" s="8">
        <v>43649</v>
      </c>
      <c r="F551" s="11"/>
      <c r="G551" s="11"/>
    </row>
    <row r="552" spans="1:7" ht="17">
      <c r="A552" s="8">
        <v>43650</v>
      </c>
      <c r="B552" s="9" t="s">
        <v>3</v>
      </c>
      <c r="C552" s="10"/>
      <c r="E552" s="8">
        <v>43650</v>
      </c>
      <c r="F552" s="11"/>
      <c r="G552" s="11"/>
    </row>
    <row r="553" spans="1:7">
      <c r="A553" s="12">
        <v>43651</v>
      </c>
      <c r="B553" s="13"/>
      <c r="C553" s="14"/>
      <c r="E553" s="12">
        <v>43651</v>
      </c>
      <c r="F553" s="11"/>
      <c r="G553" s="11"/>
    </row>
    <row r="554" spans="1:7">
      <c r="A554" s="12">
        <v>43652</v>
      </c>
      <c r="B554" s="13"/>
      <c r="C554" s="14"/>
      <c r="E554" s="12">
        <v>43652</v>
      </c>
      <c r="F554" s="11"/>
      <c r="G554" s="11"/>
    </row>
    <row r="555" spans="1:7">
      <c r="A555" s="12">
        <v>43653</v>
      </c>
      <c r="B555" s="13"/>
      <c r="C555" s="14"/>
      <c r="E555" s="12">
        <v>43653</v>
      </c>
      <c r="F555" s="11"/>
      <c r="G555" s="11"/>
    </row>
    <row r="556" spans="1:7">
      <c r="A556" s="12">
        <v>43654</v>
      </c>
      <c r="B556" s="13"/>
      <c r="C556" s="14"/>
      <c r="E556" s="12">
        <v>43654</v>
      </c>
      <c r="F556" s="11"/>
      <c r="G556" s="11"/>
    </row>
    <row r="557" spans="1:7">
      <c r="A557" s="8">
        <v>43655</v>
      </c>
      <c r="B557" s="9"/>
      <c r="C557" s="10"/>
      <c r="E557" s="8">
        <v>43655</v>
      </c>
      <c r="F557" s="11"/>
      <c r="G557" s="11"/>
    </row>
    <row r="558" spans="1:7">
      <c r="A558" s="8">
        <v>43656</v>
      </c>
      <c r="B558" s="9"/>
      <c r="C558" s="51" t="s">
        <v>78</v>
      </c>
      <c r="E558" s="8">
        <v>43656</v>
      </c>
      <c r="F558" s="11"/>
      <c r="G558" s="11"/>
    </row>
    <row r="559" spans="1:7" ht="17">
      <c r="A559" s="8">
        <v>43657</v>
      </c>
      <c r="B559" s="9" t="s">
        <v>39</v>
      </c>
      <c r="C559" s="10" t="s">
        <v>82</v>
      </c>
      <c r="E559" s="8">
        <v>43657</v>
      </c>
      <c r="F559" s="11"/>
      <c r="G559" s="11"/>
    </row>
    <row r="560" spans="1:7">
      <c r="A560" s="12">
        <v>43658</v>
      </c>
      <c r="B560" s="13"/>
      <c r="C560" s="14" t="s">
        <v>86</v>
      </c>
      <c r="E560" s="12">
        <v>43658</v>
      </c>
      <c r="F560" s="11"/>
      <c r="G560" s="11"/>
    </row>
    <row r="561" spans="1:7">
      <c r="A561" s="12">
        <v>43659</v>
      </c>
      <c r="B561" s="13"/>
      <c r="C561" s="14" t="s">
        <v>86</v>
      </c>
      <c r="E561" s="12">
        <v>43659</v>
      </c>
      <c r="F561" s="11"/>
      <c r="G561" s="11"/>
    </row>
    <row r="562" spans="1:7">
      <c r="A562" s="12">
        <v>43660</v>
      </c>
      <c r="B562" s="13"/>
      <c r="C562" s="14" t="s">
        <v>86</v>
      </c>
      <c r="E562" s="12">
        <v>43660</v>
      </c>
      <c r="F562" s="11"/>
      <c r="G562" s="11"/>
    </row>
    <row r="563" spans="1:7">
      <c r="A563" s="12">
        <v>43661</v>
      </c>
      <c r="B563" s="13"/>
      <c r="C563" s="14" t="s">
        <v>86</v>
      </c>
      <c r="E563" s="12">
        <v>43661</v>
      </c>
      <c r="F563" s="11"/>
      <c r="G563" s="11"/>
    </row>
    <row r="564" spans="1:7">
      <c r="A564" s="8">
        <v>43662</v>
      </c>
      <c r="B564" s="9"/>
      <c r="C564" s="10"/>
      <c r="E564" s="8">
        <v>43662</v>
      </c>
      <c r="F564" s="11"/>
      <c r="G564" s="11"/>
    </row>
    <row r="565" spans="1:7">
      <c r="A565" s="8">
        <v>43663</v>
      </c>
      <c r="B565" s="9"/>
      <c r="C565" s="10" t="s">
        <v>81</v>
      </c>
      <c r="E565" s="8">
        <v>43663</v>
      </c>
      <c r="F565" s="11"/>
      <c r="G565" s="11"/>
    </row>
    <row r="566" spans="1:7">
      <c r="A566" s="8">
        <v>43664</v>
      </c>
      <c r="B566" s="9"/>
      <c r="C566" s="10"/>
      <c r="E566" s="8">
        <v>43664</v>
      </c>
      <c r="F566" s="11"/>
      <c r="G566" s="11"/>
    </row>
    <row r="567" spans="1:7">
      <c r="A567" s="12">
        <v>43665</v>
      </c>
      <c r="B567" s="13"/>
      <c r="C567" s="14" t="s">
        <v>84</v>
      </c>
      <c r="E567" s="12">
        <v>43665</v>
      </c>
      <c r="F567" s="11"/>
      <c r="G567" s="11"/>
    </row>
    <row r="568" spans="1:7">
      <c r="A568" s="12">
        <v>43666</v>
      </c>
      <c r="B568" s="13"/>
      <c r="C568" s="14" t="s">
        <v>84</v>
      </c>
      <c r="E568" s="12">
        <v>43666</v>
      </c>
      <c r="F568" s="11"/>
      <c r="G568" s="11"/>
    </row>
    <row r="569" spans="1:7">
      <c r="A569" s="12">
        <v>43667</v>
      </c>
      <c r="B569" s="13"/>
      <c r="C569" s="14" t="s">
        <v>84</v>
      </c>
      <c r="E569" s="12">
        <v>43667</v>
      </c>
      <c r="F569" s="11"/>
      <c r="G569" s="11"/>
    </row>
    <row r="570" spans="1:7">
      <c r="A570" s="12">
        <v>43668</v>
      </c>
      <c r="B570" s="13"/>
      <c r="C570" s="14" t="s">
        <v>84</v>
      </c>
      <c r="E570" s="12">
        <v>43668</v>
      </c>
      <c r="F570" s="11"/>
      <c r="G570" s="11"/>
    </row>
    <row r="571" spans="1:7">
      <c r="A571" s="8">
        <v>43669</v>
      </c>
      <c r="B571" s="9"/>
      <c r="C571" s="10"/>
      <c r="E571" s="8">
        <v>43669</v>
      </c>
      <c r="F571" s="11"/>
      <c r="G571" s="11"/>
    </row>
    <row r="572" spans="1:7">
      <c r="A572" s="8">
        <v>43670</v>
      </c>
      <c r="B572" s="9"/>
      <c r="C572" s="51" t="s">
        <v>78</v>
      </c>
      <c r="E572" s="8">
        <v>43670</v>
      </c>
      <c r="F572" s="11"/>
      <c r="G572" s="11"/>
    </row>
    <row r="573" spans="1:7">
      <c r="A573" s="8">
        <v>43671</v>
      </c>
      <c r="B573" s="9"/>
      <c r="C573" s="10"/>
      <c r="E573" s="8">
        <v>43671</v>
      </c>
      <c r="F573" s="11"/>
      <c r="G573" s="11"/>
    </row>
    <row r="574" spans="1:7">
      <c r="A574" s="12">
        <v>43672</v>
      </c>
      <c r="B574" s="13"/>
      <c r="C574" s="14" t="s">
        <v>85</v>
      </c>
      <c r="E574" s="12">
        <v>43672</v>
      </c>
      <c r="F574" s="11"/>
      <c r="G574" s="11"/>
    </row>
    <row r="575" spans="1:7">
      <c r="A575" s="12">
        <v>43673</v>
      </c>
      <c r="B575" s="13"/>
      <c r="C575" s="14" t="s">
        <v>85</v>
      </c>
      <c r="E575" s="12">
        <v>43673</v>
      </c>
      <c r="F575" s="11"/>
      <c r="G575" s="11"/>
    </row>
    <row r="576" spans="1:7">
      <c r="A576" s="12">
        <v>43674</v>
      </c>
      <c r="B576" s="13"/>
      <c r="C576" s="14" t="s">
        <v>85</v>
      </c>
      <c r="E576" s="12">
        <v>43674</v>
      </c>
      <c r="F576" s="11"/>
      <c r="G576" s="11"/>
    </row>
    <row r="577" spans="1:7">
      <c r="A577" s="12">
        <v>43675</v>
      </c>
      <c r="B577" s="13"/>
      <c r="C577" s="14" t="s">
        <v>85</v>
      </c>
      <c r="E577" s="12">
        <v>43675</v>
      </c>
      <c r="F577" s="11"/>
      <c r="G577" s="11"/>
    </row>
    <row r="578" spans="1:7">
      <c r="A578" s="8">
        <v>43676</v>
      </c>
      <c r="B578" s="9"/>
      <c r="C578" s="10"/>
      <c r="E578" s="8">
        <v>43676</v>
      </c>
      <c r="F578" s="11"/>
      <c r="G578" s="11"/>
    </row>
    <row r="579" spans="1:7">
      <c r="A579" s="8">
        <v>43677</v>
      </c>
      <c r="B579" s="9"/>
      <c r="C579" s="10"/>
      <c r="E579" s="8">
        <v>43677</v>
      </c>
      <c r="F579" s="11"/>
      <c r="G579" s="11"/>
    </row>
    <row r="580" spans="1:7">
      <c r="A580" s="8">
        <v>43678</v>
      </c>
      <c r="B580" s="9"/>
      <c r="C580" s="51" t="s">
        <v>78</v>
      </c>
      <c r="E580" s="8">
        <v>43678</v>
      </c>
      <c r="F580" s="11"/>
      <c r="G580" s="11"/>
    </row>
    <row r="581" spans="1:7" ht="17">
      <c r="A581" s="12">
        <v>43679</v>
      </c>
      <c r="B581" s="13" t="s">
        <v>83</v>
      </c>
      <c r="C581" s="14"/>
      <c r="E581" s="12">
        <v>43679</v>
      </c>
      <c r="F581" s="11"/>
      <c r="G581" s="11"/>
    </row>
    <row r="582" spans="1:7" ht="17">
      <c r="A582" s="12">
        <v>43680</v>
      </c>
      <c r="B582" s="13" t="s">
        <v>83</v>
      </c>
      <c r="C582" s="14"/>
      <c r="E582" s="12">
        <v>43680</v>
      </c>
      <c r="F582" s="11"/>
      <c r="G582" s="11"/>
    </row>
    <row r="583" spans="1:7" ht="17">
      <c r="A583" s="12">
        <v>43681</v>
      </c>
      <c r="B583" s="13" t="s">
        <v>83</v>
      </c>
      <c r="C583" s="14"/>
      <c r="E583" s="12">
        <v>43681</v>
      </c>
      <c r="F583" s="11"/>
      <c r="G583" s="11"/>
    </row>
    <row r="584" spans="1:7" ht="17">
      <c r="A584" s="12">
        <v>43682</v>
      </c>
      <c r="B584" s="13" t="s">
        <v>83</v>
      </c>
      <c r="C584" s="14"/>
      <c r="E584" s="12">
        <v>43682</v>
      </c>
      <c r="F584" s="11"/>
      <c r="G584" s="11"/>
    </row>
    <row r="585" spans="1:7" ht="17">
      <c r="A585" s="8">
        <v>43683</v>
      </c>
      <c r="B585" s="9" t="s">
        <v>1</v>
      </c>
      <c r="C585" s="10" t="s">
        <v>101</v>
      </c>
      <c r="E585" s="8">
        <v>43683</v>
      </c>
      <c r="F585" s="11"/>
      <c r="G585" s="11"/>
    </row>
    <row r="586" spans="1:7" ht="17">
      <c r="A586" s="8">
        <v>43684</v>
      </c>
      <c r="B586" s="9" t="s">
        <v>3</v>
      </c>
      <c r="C586" s="10" t="s">
        <v>94</v>
      </c>
      <c r="E586" s="8">
        <v>43684</v>
      </c>
      <c r="F586" s="11"/>
      <c r="G586" s="11"/>
    </row>
    <row r="587" spans="1:7" ht="17">
      <c r="A587" s="8">
        <v>43685</v>
      </c>
      <c r="B587" s="9" t="s">
        <v>3</v>
      </c>
      <c r="C587" s="10"/>
      <c r="E587" s="8">
        <v>43685</v>
      </c>
      <c r="F587" s="11"/>
      <c r="G587" s="11"/>
    </row>
    <row r="588" spans="1:7">
      <c r="A588" s="12">
        <v>43686</v>
      </c>
      <c r="B588" s="13"/>
      <c r="C588" s="14"/>
      <c r="E588" s="12">
        <v>43686</v>
      </c>
      <c r="F588" s="11"/>
      <c r="G588" s="11"/>
    </row>
    <row r="589" spans="1:7">
      <c r="A589" s="12">
        <v>43687</v>
      </c>
      <c r="B589" s="13"/>
      <c r="C589" s="14"/>
      <c r="E589" s="12">
        <v>43687</v>
      </c>
      <c r="F589" s="11"/>
      <c r="G589" s="11"/>
    </row>
    <row r="590" spans="1:7">
      <c r="A590" s="12">
        <v>43688</v>
      </c>
      <c r="B590" s="13"/>
      <c r="C590" s="14"/>
      <c r="E590" s="12">
        <v>43688</v>
      </c>
      <c r="F590" s="11"/>
      <c r="G590" s="11"/>
    </row>
    <row r="591" spans="1:7">
      <c r="A591" s="12">
        <v>43689</v>
      </c>
      <c r="B591" s="13"/>
      <c r="C591" s="14"/>
      <c r="E591" s="12">
        <v>43689</v>
      </c>
      <c r="F591" s="11"/>
      <c r="G591" s="11"/>
    </row>
    <row r="592" spans="1:7" ht="17">
      <c r="A592" s="8">
        <v>43690</v>
      </c>
      <c r="B592" s="9" t="s">
        <v>39</v>
      </c>
      <c r="C592" s="10"/>
      <c r="E592" s="8">
        <v>43690</v>
      </c>
      <c r="F592" s="11"/>
      <c r="G592" s="11"/>
    </row>
    <row r="593" spans="1:7" ht="17">
      <c r="A593" s="8">
        <v>43691</v>
      </c>
      <c r="B593" s="9" t="s">
        <v>39</v>
      </c>
      <c r="C593" s="10"/>
      <c r="E593" s="8">
        <v>43691</v>
      </c>
      <c r="F593" s="11"/>
      <c r="G593" s="11"/>
    </row>
    <row r="594" spans="1:7" ht="17">
      <c r="A594" s="8">
        <v>43692</v>
      </c>
      <c r="B594" s="9" t="s">
        <v>3</v>
      </c>
      <c r="C594" s="10"/>
      <c r="E594" s="8">
        <v>43692</v>
      </c>
      <c r="F594" s="11"/>
      <c r="G594" s="11"/>
    </row>
    <row r="595" spans="1:7">
      <c r="A595" s="12">
        <v>43693</v>
      </c>
      <c r="B595" s="13"/>
      <c r="C595" s="14"/>
      <c r="E595" s="12">
        <v>43693</v>
      </c>
      <c r="F595" s="11"/>
      <c r="G595" s="11"/>
    </row>
    <row r="596" spans="1:7">
      <c r="A596" s="12">
        <v>43694</v>
      </c>
      <c r="B596" s="13"/>
      <c r="C596" s="14"/>
      <c r="E596" s="12">
        <v>43694</v>
      </c>
      <c r="F596" s="11"/>
      <c r="G596" s="11"/>
    </row>
    <row r="597" spans="1:7">
      <c r="A597" s="12">
        <v>43695</v>
      </c>
      <c r="B597" s="13"/>
      <c r="C597" s="14"/>
      <c r="E597" s="12">
        <v>43695</v>
      </c>
      <c r="F597" s="11"/>
      <c r="G597" s="11"/>
    </row>
    <row r="598" spans="1:7">
      <c r="A598" s="12">
        <v>43696</v>
      </c>
      <c r="B598" s="13"/>
      <c r="C598" s="14"/>
      <c r="E598" s="12">
        <v>43696</v>
      </c>
      <c r="F598" s="11"/>
      <c r="G598" s="11"/>
    </row>
    <row r="599" spans="1:7" ht="17">
      <c r="A599" s="8">
        <v>43697</v>
      </c>
      <c r="B599" s="9" t="s">
        <v>39</v>
      </c>
      <c r="C599" s="10"/>
      <c r="E599" s="8">
        <v>43697</v>
      </c>
      <c r="F599" s="11"/>
      <c r="G599" s="11"/>
    </row>
    <row r="600" spans="1:7" ht="17">
      <c r="A600" s="8">
        <v>43698</v>
      </c>
      <c r="B600" s="9" t="s">
        <v>39</v>
      </c>
      <c r="C600" s="10"/>
      <c r="E600" s="8">
        <v>43698</v>
      </c>
      <c r="F600" s="11"/>
      <c r="G600" s="11"/>
    </row>
    <row r="601" spans="1:7" ht="17">
      <c r="A601" s="8">
        <v>43699</v>
      </c>
      <c r="B601" s="9" t="s">
        <v>3</v>
      </c>
      <c r="C601" s="51" t="s">
        <v>78</v>
      </c>
      <c r="E601" s="8">
        <v>43699</v>
      </c>
      <c r="F601" s="11"/>
      <c r="G601" s="11"/>
    </row>
    <row r="602" spans="1:7">
      <c r="A602" s="12">
        <v>43700</v>
      </c>
      <c r="B602" s="13"/>
      <c r="C602" s="14"/>
      <c r="E602" s="12">
        <v>43700</v>
      </c>
      <c r="F602" s="11"/>
      <c r="G602" s="11"/>
    </row>
    <row r="603" spans="1:7">
      <c r="A603" s="12">
        <v>43701</v>
      </c>
      <c r="B603" s="13"/>
      <c r="C603" s="14"/>
      <c r="E603" s="12">
        <v>43701</v>
      </c>
      <c r="F603" s="11"/>
      <c r="G603" s="11"/>
    </row>
    <row r="604" spans="1:7" ht="17">
      <c r="A604" s="12">
        <v>43702</v>
      </c>
      <c r="B604" s="13"/>
      <c r="C604" s="14"/>
      <c r="D604" s="3" t="s">
        <v>87</v>
      </c>
      <c r="E604" s="12">
        <v>43702</v>
      </c>
      <c r="F604" s="11"/>
      <c r="G604" s="11"/>
    </row>
    <row r="605" spans="1:7">
      <c r="A605" s="12">
        <v>43703</v>
      </c>
      <c r="B605" s="13"/>
      <c r="C605" s="14"/>
      <c r="E605" s="12">
        <v>43703</v>
      </c>
      <c r="F605" s="11"/>
      <c r="G605" s="11"/>
    </row>
    <row r="606" spans="1:7" ht="17">
      <c r="A606" s="8">
        <v>43704</v>
      </c>
      <c r="B606" s="9" t="s">
        <v>0</v>
      </c>
      <c r="C606" s="10"/>
      <c r="E606" s="8">
        <v>43704</v>
      </c>
      <c r="F606" s="11"/>
      <c r="G606" s="11"/>
    </row>
    <row r="607" spans="1:7" ht="17">
      <c r="A607" s="8">
        <v>43705</v>
      </c>
      <c r="B607" s="9" t="s">
        <v>3</v>
      </c>
      <c r="C607" s="10"/>
      <c r="E607" s="8">
        <v>43705</v>
      </c>
      <c r="F607" s="11"/>
      <c r="G607" s="11"/>
    </row>
    <row r="608" spans="1:7" ht="17">
      <c r="A608" s="8">
        <v>43706</v>
      </c>
      <c r="B608" s="9" t="s">
        <v>3</v>
      </c>
      <c r="C608" s="51" t="s">
        <v>78</v>
      </c>
      <c r="E608" s="8">
        <v>43706</v>
      </c>
      <c r="F608" s="11"/>
      <c r="G608" s="11"/>
    </row>
    <row r="609" spans="1:7">
      <c r="A609" s="12">
        <v>43707</v>
      </c>
      <c r="B609" s="14"/>
      <c r="C609" s="14"/>
      <c r="E609" s="12">
        <v>43707</v>
      </c>
      <c r="F609" s="11"/>
      <c r="G609" s="11"/>
    </row>
    <row r="610" spans="1:7">
      <c r="A610" s="12">
        <v>43708</v>
      </c>
      <c r="B610" s="14"/>
      <c r="C610" s="14"/>
      <c r="E610" s="12">
        <v>43708</v>
      </c>
      <c r="F610" s="11"/>
      <c r="G610" s="11"/>
    </row>
    <row r="611" spans="1:7">
      <c r="A611" s="12">
        <v>43709</v>
      </c>
      <c r="B611" s="14"/>
      <c r="C611" s="14"/>
      <c r="E611" s="12">
        <v>43709</v>
      </c>
      <c r="F611" s="11"/>
      <c r="G611" s="11"/>
    </row>
    <row r="612" spans="1:7">
      <c r="A612" s="12">
        <v>43710</v>
      </c>
      <c r="B612" s="14"/>
      <c r="C612" s="14"/>
      <c r="E612" s="12">
        <v>43710</v>
      </c>
      <c r="F612" s="11"/>
      <c r="G612" s="11"/>
    </row>
    <row r="613" spans="1:7" ht="17">
      <c r="A613" s="8">
        <v>43711</v>
      </c>
      <c r="B613" s="9" t="s">
        <v>3</v>
      </c>
      <c r="C613" s="10"/>
      <c r="E613" s="8">
        <v>43711</v>
      </c>
      <c r="F613" s="11"/>
      <c r="G613" s="11"/>
    </row>
    <row r="614" spans="1:7" ht="17">
      <c r="A614" s="8">
        <v>43712</v>
      </c>
      <c r="B614" s="9" t="s">
        <v>3</v>
      </c>
      <c r="C614" s="10"/>
      <c r="E614" s="8">
        <v>43712</v>
      </c>
      <c r="F614" s="11"/>
      <c r="G614" s="11"/>
    </row>
    <row r="615" spans="1:7" ht="17">
      <c r="A615" s="8">
        <v>43713</v>
      </c>
      <c r="B615" s="9" t="s">
        <v>91</v>
      </c>
      <c r="C615" s="10" t="s">
        <v>101</v>
      </c>
      <c r="D615" s="3" t="s">
        <v>1</v>
      </c>
      <c r="E615" s="8">
        <v>43713</v>
      </c>
      <c r="F615" s="11"/>
      <c r="G615" s="11"/>
    </row>
    <row r="616" spans="1:7">
      <c r="A616" s="12">
        <v>43714</v>
      </c>
      <c r="B616" s="14" t="s">
        <v>93</v>
      </c>
      <c r="C616" s="14"/>
      <c r="E616" s="12">
        <v>43714</v>
      </c>
      <c r="F616" s="11"/>
      <c r="G616" s="11"/>
    </row>
    <row r="617" spans="1:7" ht="17">
      <c r="A617" s="12">
        <v>43715</v>
      </c>
      <c r="B617" s="14" t="s">
        <v>92</v>
      </c>
      <c r="C617" s="13" t="s">
        <v>90</v>
      </c>
      <c r="E617" s="12">
        <v>43715</v>
      </c>
      <c r="F617" s="11"/>
      <c r="G617" s="11"/>
    </row>
    <row r="618" spans="1:7" ht="17">
      <c r="A618" s="12">
        <v>43716</v>
      </c>
      <c r="B618" s="14"/>
      <c r="C618" s="13" t="s">
        <v>89</v>
      </c>
      <c r="E618" s="12">
        <v>43716</v>
      </c>
      <c r="F618" s="11"/>
      <c r="G618" s="11"/>
    </row>
    <row r="619" spans="1:7" ht="17">
      <c r="A619" s="12">
        <v>43717</v>
      </c>
      <c r="B619" s="14"/>
      <c r="C619" s="13" t="s">
        <v>89</v>
      </c>
      <c r="E619" s="12">
        <v>43717</v>
      </c>
      <c r="F619" s="11"/>
      <c r="G619" s="11"/>
    </row>
    <row r="620" spans="1:7" ht="17">
      <c r="A620" s="8">
        <v>43718</v>
      </c>
      <c r="B620" s="9" t="s">
        <v>1</v>
      </c>
      <c r="C620" s="9" t="s">
        <v>89</v>
      </c>
      <c r="D620" s="3" t="s">
        <v>1</v>
      </c>
      <c r="E620" s="8">
        <v>43718</v>
      </c>
      <c r="F620" s="11"/>
      <c r="G620" s="11"/>
    </row>
    <row r="621" spans="1:7" ht="17">
      <c r="A621" s="8">
        <v>43719</v>
      </c>
      <c r="B621" s="9" t="s">
        <v>1</v>
      </c>
      <c r="C621" s="9" t="s">
        <v>89</v>
      </c>
      <c r="D621" s="3" t="s">
        <v>1</v>
      </c>
      <c r="E621" s="8">
        <v>43719</v>
      </c>
      <c r="F621" s="11"/>
      <c r="G621" s="11"/>
    </row>
    <row r="622" spans="1:7" ht="17">
      <c r="A622" s="8">
        <v>43720</v>
      </c>
      <c r="B622" s="9" t="s">
        <v>1</v>
      </c>
      <c r="C622" s="9" t="s">
        <v>102</v>
      </c>
      <c r="D622" s="3" t="s">
        <v>1</v>
      </c>
      <c r="E622" s="8">
        <v>43720</v>
      </c>
      <c r="F622" s="11"/>
      <c r="G622" s="11"/>
    </row>
    <row r="623" spans="1:7">
      <c r="A623" s="12">
        <v>43721</v>
      </c>
      <c r="B623" s="13"/>
      <c r="C623" s="14"/>
      <c r="E623" s="12">
        <v>43721</v>
      </c>
      <c r="F623" s="11"/>
      <c r="G623" s="11"/>
    </row>
    <row r="624" spans="1:7">
      <c r="A624" s="12">
        <v>43722</v>
      </c>
      <c r="B624" s="13"/>
      <c r="C624" s="14"/>
      <c r="E624" s="12">
        <v>43722</v>
      </c>
      <c r="F624" s="11"/>
      <c r="G624" s="11"/>
    </row>
    <row r="625" spans="1:7">
      <c r="A625" s="12">
        <v>43723</v>
      </c>
      <c r="B625" s="13"/>
      <c r="C625" s="14"/>
      <c r="E625" s="12">
        <v>43723</v>
      </c>
      <c r="F625" s="11"/>
      <c r="G625" s="11"/>
    </row>
    <row r="626" spans="1:7">
      <c r="A626" s="12">
        <v>43724</v>
      </c>
      <c r="B626" s="13"/>
      <c r="C626" s="14"/>
      <c r="E626" s="12">
        <v>43724</v>
      </c>
      <c r="F626" s="11"/>
      <c r="G626" s="11"/>
    </row>
    <row r="627" spans="1:7" ht="17">
      <c r="A627" s="8">
        <v>43725</v>
      </c>
      <c r="B627" s="9" t="s">
        <v>39</v>
      </c>
      <c r="C627" s="51" t="s">
        <v>78</v>
      </c>
      <c r="E627" s="8">
        <v>43725</v>
      </c>
      <c r="F627" s="11"/>
      <c r="G627" s="11"/>
    </row>
    <row r="628" spans="1:7" ht="17">
      <c r="A628" s="8">
        <v>43726</v>
      </c>
      <c r="B628" s="9" t="s">
        <v>39</v>
      </c>
      <c r="C628" s="10"/>
      <c r="E628" s="8">
        <v>43726</v>
      </c>
      <c r="F628" s="11"/>
      <c r="G628" s="11"/>
    </row>
    <row r="629" spans="1:7" ht="17">
      <c r="A629" s="8">
        <v>43727</v>
      </c>
      <c r="B629" s="9" t="s">
        <v>3</v>
      </c>
      <c r="C629" s="10"/>
      <c r="E629" s="8">
        <v>43727</v>
      </c>
      <c r="F629" s="11"/>
      <c r="G629" s="11"/>
    </row>
    <row r="630" spans="1:7">
      <c r="A630" s="12">
        <v>43728</v>
      </c>
      <c r="B630" s="13"/>
      <c r="C630" s="14"/>
      <c r="E630" s="12">
        <v>43728</v>
      </c>
      <c r="F630" s="11"/>
      <c r="G630" s="11"/>
    </row>
    <row r="631" spans="1:7">
      <c r="A631" s="12">
        <v>43729</v>
      </c>
      <c r="B631" s="13"/>
      <c r="C631" s="14"/>
      <c r="E631" s="12">
        <v>43729</v>
      </c>
      <c r="F631" s="11"/>
      <c r="G631" s="11"/>
    </row>
    <row r="632" spans="1:7">
      <c r="A632" s="12">
        <v>43730</v>
      </c>
      <c r="B632" s="13"/>
      <c r="C632" s="14"/>
      <c r="E632" s="12">
        <v>43730</v>
      </c>
      <c r="F632" s="11"/>
      <c r="G632" s="11"/>
    </row>
    <row r="633" spans="1:7">
      <c r="A633" s="12">
        <v>43731</v>
      </c>
      <c r="B633" s="13"/>
      <c r="C633" s="14"/>
      <c r="E633" s="12">
        <v>43731</v>
      </c>
      <c r="F633" s="11"/>
      <c r="G633" s="11"/>
    </row>
    <row r="634" spans="1:7" ht="17">
      <c r="A634" s="8">
        <v>43732</v>
      </c>
      <c r="B634" s="9" t="s">
        <v>39</v>
      </c>
      <c r="C634" s="10"/>
      <c r="E634" s="8">
        <v>43732</v>
      </c>
      <c r="F634" s="11"/>
      <c r="G634" s="11"/>
    </row>
    <row r="635" spans="1:7" ht="17">
      <c r="A635" s="8">
        <v>43733</v>
      </c>
      <c r="B635" s="9" t="s">
        <v>39</v>
      </c>
      <c r="C635" s="10"/>
      <c r="E635" s="8">
        <v>43733</v>
      </c>
      <c r="F635" s="11"/>
      <c r="G635" s="11"/>
    </row>
    <row r="636" spans="1:7" ht="17">
      <c r="A636" s="8">
        <v>43734</v>
      </c>
      <c r="B636" s="9" t="s">
        <v>3</v>
      </c>
      <c r="C636" s="10"/>
      <c r="E636" s="8">
        <v>43734</v>
      </c>
      <c r="F636" s="11"/>
      <c r="G636" s="11"/>
    </row>
    <row r="637" spans="1:7">
      <c r="A637" s="12">
        <v>43735</v>
      </c>
      <c r="B637" s="13"/>
      <c r="C637" s="14"/>
      <c r="E637" s="12">
        <v>43735</v>
      </c>
      <c r="F637" s="11"/>
      <c r="G637" s="11"/>
    </row>
    <row r="638" spans="1:7">
      <c r="A638" s="12">
        <v>43736</v>
      </c>
      <c r="B638" s="13"/>
      <c r="C638" s="14"/>
      <c r="E638" s="12">
        <v>43736</v>
      </c>
      <c r="F638" s="11"/>
      <c r="G638" s="11"/>
    </row>
    <row r="639" spans="1:7">
      <c r="A639" s="12">
        <v>43737</v>
      </c>
      <c r="B639" s="13"/>
      <c r="C639" s="14"/>
      <c r="E639" s="12">
        <v>43737</v>
      </c>
      <c r="F639" s="11"/>
      <c r="G639" s="11"/>
    </row>
    <row r="640" spans="1:7">
      <c r="A640" s="12">
        <v>43738</v>
      </c>
      <c r="B640" s="13"/>
      <c r="C640" s="14"/>
      <c r="E640" s="12">
        <v>43738</v>
      </c>
      <c r="F640" s="11"/>
      <c r="G640" s="11"/>
    </row>
    <row r="641" spans="1:7" ht="17">
      <c r="A641" s="8">
        <v>43739</v>
      </c>
      <c r="B641" s="9" t="s">
        <v>39</v>
      </c>
      <c r="C641" s="10"/>
      <c r="E641" s="8">
        <v>43739</v>
      </c>
      <c r="F641" s="11"/>
      <c r="G641" s="11"/>
    </row>
    <row r="642" spans="1:7" ht="17">
      <c r="A642" s="8">
        <v>43740</v>
      </c>
      <c r="B642" s="9" t="s">
        <v>39</v>
      </c>
      <c r="C642" s="10"/>
      <c r="E642" s="8">
        <v>43740</v>
      </c>
      <c r="F642" s="11"/>
      <c r="G642" s="11"/>
    </row>
    <row r="643" spans="1:7" ht="17">
      <c r="A643" s="8">
        <v>43741</v>
      </c>
      <c r="B643" s="9" t="s">
        <v>3</v>
      </c>
      <c r="C643" s="10"/>
      <c r="E643" s="8">
        <v>43741</v>
      </c>
      <c r="F643" s="11"/>
      <c r="G643" s="11"/>
    </row>
    <row r="644" spans="1:7">
      <c r="A644" s="12">
        <v>43742</v>
      </c>
      <c r="B644" s="13"/>
      <c r="C644" s="14"/>
      <c r="E644" s="12">
        <v>43742</v>
      </c>
      <c r="F644" s="11"/>
      <c r="G644" s="11"/>
    </row>
    <row r="645" spans="1:7">
      <c r="A645" s="12">
        <v>43743</v>
      </c>
      <c r="B645" s="13"/>
      <c r="C645" s="14"/>
      <c r="E645" s="12">
        <v>43743</v>
      </c>
      <c r="F645" s="11"/>
      <c r="G645" s="11"/>
    </row>
    <row r="646" spans="1:7">
      <c r="A646" s="12">
        <v>43744</v>
      </c>
      <c r="B646" s="13"/>
      <c r="C646" s="14"/>
      <c r="E646" s="12">
        <v>43744</v>
      </c>
      <c r="F646" s="11"/>
      <c r="G646" s="11"/>
    </row>
    <row r="647" spans="1:7">
      <c r="A647" s="12">
        <v>43745</v>
      </c>
      <c r="B647" s="13"/>
      <c r="C647" s="14"/>
      <c r="E647" s="12">
        <v>43745</v>
      </c>
      <c r="F647" s="11"/>
      <c r="G647" s="11"/>
    </row>
    <row r="648" spans="1:7" ht="17">
      <c r="A648" s="8">
        <v>43746</v>
      </c>
      <c r="B648" s="9" t="s">
        <v>39</v>
      </c>
      <c r="C648" s="10"/>
      <c r="E648" s="8">
        <v>43746</v>
      </c>
      <c r="F648" s="11"/>
      <c r="G648" s="11"/>
    </row>
    <row r="649" spans="1:7" ht="17">
      <c r="A649" s="8">
        <v>43747</v>
      </c>
      <c r="B649" s="9" t="s">
        <v>39</v>
      </c>
      <c r="C649" s="10"/>
      <c r="E649" s="8">
        <v>43747</v>
      </c>
      <c r="F649" s="11"/>
      <c r="G649" s="11"/>
    </row>
    <row r="650" spans="1:7" ht="17">
      <c r="A650" s="8">
        <v>43748</v>
      </c>
      <c r="B650" s="9" t="s">
        <v>3</v>
      </c>
      <c r="C650" s="10"/>
      <c r="E650" s="8">
        <v>43748</v>
      </c>
      <c r="F650" s="11"/>
      <c r="G650" s="11"/>
    </row>
    <row r="651" spans="1:7">
      <c r="A651" s="12">
        <v>43749</v>
      </c>
      <c r="B651" s="13"/>
      <c r="C651" s="14"/>
      <c r="E651" s="12">
        <v>43749</v>
      </c>
      <c r="F651" s="11"/>
      <c r="G651" s="11"/>
    </row>
    <row r="652" spans="1:7">
      <c r="A652" s="12">
        <v>43750</v>
      </c>
      <c r="B652" s="13"/>
      <c r="C652" s="14"/>
      <c r="E652" s="12">
        <v>43750</v>
      </c>
      <c r="F652" s="11"/>
      <c r="G652" s="11"/>
    </row>
    <row r="653" spans="1:7">
      <c r="A653" s="12">
        <v>43751</v>
      </c>
      <c r="B653" s="13"/>
      <c r="C653" s="14"/>
      <c r="E653" s="12">
        <v>43751</v>
      </c>
      <c r="F653" s="11"/>
      <c r="G653" s="11"/>
    </row>
    <row r="654" spans="1:7">
      <c r="A654" s="12">
        <v>43752</v>
      </c>
      <c r="B654" s="13"/>
      <c r="C654" s="14"/>
      <c r="E654" s="12">
        <v>43752</v>
      </c>
      <c r="F654" s="11"/>
      <c r="G654" s="11"/>
    </row>
    <row r="655" spans="1:7" ht="17">
      <c r="A655" s="8">
        <v>43753</v>
      </c>
      <c r="B655" s="9" t="s">
        <v>39</v>
      </c>
      <c r="C655" s="10"/>
      <c r="E655" s="8">
        <v>43753</v>
      </c>
      <c r="F655" s="11"/>
      <c r="G655" s="11"/>
    </row>
    <row r="656" spans="1:7" ht="17">
      <c r="A656" s="8">
        <v>43754</v>
      </c>
      <c r="B656" s="9" t="s">
        <v>39</v>
      </c>
      <c r="C656" s="10"/>
      <c r="E656" s="8">
        <v>43754</v>
      </c>
      <c r="F656" s="11"/>
      <c r="G656" s="11"/>
    </row>
    <row r="657" spans="1:7" ht="17">
      <c r="A657" s="8">
        <v>43755</v>
      </c>
      <c r="B657" s="9" t="s">
        <v>3</v>
      </c>
      <c r="C657" s="10"/>
      <c r="E657" s="8">
        <v>43755</v>
      </c>
      <c r="F657" s="11"/>
      <c r="G657" s="11"/>
    </row>
    <row r="658" spans="1:7">
      <c r="A658" s="12">
        <v>43756</v>
      </c>
      <c r="B658" s="13"/>
      <c r="C658" s="14"/>
      <c r="E658" s="12">
        <v>43756</v>
      </c>
      <c r="F658" s="11"/>
      <c r="G658" s="11"/>
    </row>
    <row r="659" spans="1:7">
      <c r="A659" s="12">
        <v>43757</v>
      </c>
      <c r="B659" s="13"/>
      <c r="C659" s="14"/>
      <c r="E659" s="12">
        <v>43757</v>
      </c>
      <c r="F659" s="11"/>
      <c r="G659" s="11"/>
    </row>
    <row r="660" spans="1:7">
      <c r="A660" s="12">
        <v>43758</v>
      </c>
      <c r="B660" s="13"/>
      <c r="C660" s="14"/>
      <c r="E660" s="12">
        <v>43758</v>
      </c>
      <c r="F660" s="11"/>
      <c r="G660" s="11"/>
    </row>
    <row r="661" spans="1:7">
      <c r="A661" s="12">
        <v>43759</v>
      </c>
      <c r="B661" s="13"/>
      <c r="C661" s="14"/>
      <c r="E661" s="12">
        <v>43759</v>
      </c>
      <c r="F661" s="11"/>
      <c r="G661" s="11"/>
    </row>
    <row r="662" spans="1:7" ht="17">
      <c r="A662" s="8">
        <v>43760</v>
      </c>
      <c r="B662" s="9" t="s">
        <v>39</v>
      </c>
      <c r="C662" s="10"/>
      <c r="E662" s="8">
        <v>43760</v>
      </c>
      <c r="F662" s="11"/>
      <c r="G662" s="11"/>
    </row>
    <row r="663" spans="1:7" ht="17">
      <c r="A663" s="8">
        <v>43761</v>
      </c>
      <c r="B663" s="9" t="s">
        <v>39</v>
      </c>
      <c r="C663" s="10"/>
      <c r="E663" s="8">
        <v>43761</v>
      </c>
      <c r="F663" s="11"/>
      <c r="G663" s="11"/>
    </row>
    <row r="664" spans="1:7" ht="17">
      <c r="A664" s="8">
        <v>43762</v>
      </c>
      <c r="B664" s="9" t="s">
        <v>3</v>
      </c>
      <c r="C664" s="10"/>
      <c r="E664" s="8">
        <v>43762</v>
      </c>
      <c r="F664" s="11"/>
      <c r="G664" s="11"/>
    </row>
    <row r="665" spans="1:7">
      <c r="A665" s="12">
        <v>43763</v>
      </c>
      <c r="B665" s="13"/>
      <c r="C665" s="14"/>
      <c r="E665" s="12">
        <v>43763</v>
      </c>
      <c r="F665" s="11"/>
      <c r="G665" s="11"/>
    </row>
    <row r="666" spans="1:7">
      <c r="A666" s="12">
        <v>43764</v>
      </c>
      <c r="B666" s="13"/>
      <c r="C666" s="14"/>
      <c r="E666" s="12">
        <v>43764</v>
      </c>
      <c r="F666" s="11"/>
      <c r="G666" s="11"/>
    </row>
    <row r="667" spans="1:7">
      <c r="A667" s="12">
        <v>43765</v>
      </c>
      <c r="B667" s="13"/>
      <c r="C667" s="14"/>
      <c r="E667" s="12">
        <v>43765</v>
      </c>
      <c r="F667" s="11"/>
      <c r="G667" s="11"/>
    </row>
    <row r="668" spans="1:7">
      <c r="A668" s="12">
        <v>43766</v>
      </c>
      <c r="B668" s="13"/>
      <c r="C668" s="14"/>
      <c r="E668" s="12">
        <v>43766</v>
      </c>
      <c r="F668" s="11"/>
      <c r="G668" s="11"/>
    </row>
    <row r="669" spans="1:7" ht="17">
      <c r="A669" s="8">
        <v>43767</v>
      </c>
      <c r="B669" s="9" t="s">
        <v>39</v>
      </c>
      <c r="C669" s="10"/>
      <c r="E669" s="8">
        <v>43767</v>
      </c>
      <c r="F669" s="11"/>
      <c r="G669" s="11"/>
    </row>
    <row r="670" spans="1:7" ht="17">
      <c r="A670" s="8">
        <v>43768</v>
      </c>
      <c r="B670" s="9" t="s">
        <v>39</v>
      </c>
      <c r="C670" s="10"/>
      <c r="E670" s="8">
        <v>43768</v>
      </c>
      <c r="F670" s="11"/>
      <c r="G670" s="11"/>
    </row>
    <row r="671" spans="1:7" ht="17">
      <c r="A671" s="8">
        <v>43769</v>
      </c>
      <c r="B671" s="9" t="s">
        <v>3</v>
      </c>
      <c r="C671" s="10"/>
      <c r="E671" s="8">
        <v>43769</v>
      </c>
      <c r="F671" s="11"/>
      <c r="G671" s="11"/>
    </row>
    <row r="672" spans="1:7">
      <c r="A672" s="12">
        <v>43770</v>
      </c>
      <c r="B672" s="13"/>
      <c r="C672" s="14"/>
      <c r="E672" s="12">
        <v>43770</v>
      </c>
      <c r="F672" s="11"/>
      <c r="G672" s="11"/>
    </row>
    <row r="673" spans="1:7">
      <c r="A673" s="12">
        <v>43771</v>
      </c>
      <c r="B673" s="13"/>
      <c r="C673" s="14"/>
      <c r="E673" s="12">
        <v>43771</v>
      </c>
      <c r="F673" s="11"/>
      <c r="G673" s="11"/>
    </row>
    <row r="674" spans="1:7">
      <c r="A674" s="12">
        <v>43772</v>
      </c>
      <c r="B674" s="13"/>
      <c r="C674" s="14"/>
      <c r="E674" s="12">
        <v>43772</v>
      </c>
      <c r="F674" s="11"/>
      <c r="G674" s="11"/>
    </row>
    <row r="675" spans="1:7">
      <c r="A675" s="12">
        <v>43773</v>
      </c>
      <c r="B675" s="13"/>
      <c r="C675" s="14"/>
      <c r="E675" s="12">
        <v>43773</v>
      </c>
      <c r="F675" s="11"/>
      <c r="G675" s="11"/>
    </row>
    <row r="676" spans="1:7" ht="17">
      <c r="A676" s="8">
        <v>43774</v>
      </c>
      <c r="B676" s="9" t="s">
        <v>39</v>
      </c>
      <c r="C676" s="10"/>
      <c r="E676" s="8">
        <v>43774</v>
      </c>
      <c r="F676" s="11"/>
      <c r="G676" s="11"/>
    </row>
    <row r="677" spans="1:7" ht="17">
      <c r="A677" s="8">
        <v>43775</v>
      </c>
      <c r="B677" s="9" t="s">
        <v>39</v>
      </c>
      <c r="C677" s="10"/>
      <c r="E677" s="8">
        <v>43775</v>
      </c>
      <c r="F677" s="11"/>
      <c r="G677" s="11"/>
    </row>
    <row r="678" spans="1:7" ht="17">
      <c r="A678" s="8">
        <v>43776</v>
      </c>
      <c r="B678" s="9" t="s">
        <v>3</v>
      </c>
      <c r="C678" s="10"/>
      <c r="E678" s="8">
        <v>43776</v>
      </c>
      <c r="F678" s="11"/>
      <c r="G678" s="11"/>
    </row>
    <row r="679" spans="1:7">
      <c r="A679" s="12">
        <v>43777</v>
      </c>
      <c r="B679" s="13"/>
      <c r="C679" s="14"/>
      <c r="E679" s="12">
        <v>43777</v>
      </c>
      <c r="F679" s="11"/>
      <c r="G679" s="11"/>
    </row>
    <row r="680" spans="1:7">
      <c r="A680" s="12">
        <v>43778</v>
      </c>
      <c r="B680" s="13"/>
      <c r="C680" s="14"/>
      <c r="E680" s="12">
        <v>43778</v>
      </c>
      <c r="F680" s="11"/>
      <c r="G680" s="11"/>
    </row>
    <row r="681" spans="1:7">
      <c r="A681" s="12">
        <v>43779</v>
      </c>
      <c r="B681" s="13"/>
      <c r="C681" s="14"/>
      <c r="E681" s="12">
        <v>43779</v>
      </c>
      <c r="F681" s="11"/>
      <c r="G681" s="11"/>
    </row>
    <row r="682" spans="1:7">
      <c r="A682" s="12">
        <v>43780</v>
      </c>
      <c r="B682" s="13"/>
      <c r="C682" s="14"/>
      <c r="E682" s="12">
        <v>43780</v>
      </c>
      <c r="F682" s="11"/>
      <c r="G682" s="11"/>
    </row>
    <row r="683" spans="1:7" ht="17">
      <c r="A683" s="8">
        <v>43781</v>
      </c>
      <c r="B683" s="9" t="s">
        <v>39</v>
      </c>
      <c r="C683" s="10"/>
      <c r="E683" s="8">
        <v>43781</v>
      </c>
      <c r="F683" s="11"/>
      <c r="G683" s="11"/>
    </row>
    <row r="684" spans="1:7" ht="17">
      <c r="A684" s="8">
        <v>43782</v>
      </c>
      <c r="B684" s="9" t="s">
        <v>39</v>
      </c>
      <c r="C684" s="10"/>
      <c r="E684" s="8">
        <v>43782</v>
      </c>
      <c r="F684" s="11"/>
      <c r="G684" s="11"/>
    </row>
    <row r="685" spans="1:7" ht="17">
      <c r="A685" s="8">
        <v>43783</v>
      </c>
      <c r="B685" s="9" t="s">
        <v>3</v>
      </c>
      <c r="C685" s="10"/>
      <c r="E685" s="8">
        <v>43783</v>
      </c>
      <c r="F685" s="11"/>
      <c r="G685" s="11"/>
    </row>
    <row r="686" spans="1:7">
      <c r="A686" s="12">
        <v>43784</v>
      </c>
      <c r="B686" s="13"/>
      <c r="C686" s="14"/>
      <c r="E686" s="12">
        <v>43784</v>
      </c>
      <c r="F686" s="11"/>
      <c r="G686" s="11"/>
    </row>
    <row r="687" spans="1:7">
      <c r="A687" s="12">
        <v>43785</v>
      </c>
      <c r="B687" s="13"/>
      <c r="C687" s="14"/>
      <c r="E687" s="12">
        <v>43785</v>
      </c>
      <c r="F687" s="11"/>
      <c r="G687" s="11"/>
    </row>
    <row r="688" spans="1:7">
      <c r="A688" s="12">
        <v>43786</v>
      </c>
      <c r="B688" s="13"/>
      <c r="C688" s="14"/>
      <c r="E688" s="12">
        <v>43786</v>
      </c>
      <c r="F688" s="11"/>
      <c r="G688" s="11"/>
    </row>
    <row r="689" spans="1:7">
      <c r="A689" s="12">
        <v>43787</v>
      </c>
      <c r="B689" s="13"/>
      <c r="C689" s="14"/>
      <c r="E689" s="12">
        <v>43787</v>
      </c>
      <c r="F689" s="11"/>
      <c r="G689" s="11"/>
    </row>
    <row r="690" spans="1:7" ht="17">
      <c r="A690" s="8">
        <v>43788</v>
      </c>
      <c r="B690" s="9" t="s">
        <v>39</v>
      </c>
      <c r="C690" s="10"/>
      <c r="E690" s="8">
        <v>43788</v>
      </c>
      <c r="F690" s="11"/>
      <c r="G690" s="11"/>
    </row>
    <row r="691" spans="1:7" ht="17">
      <c r="A691" s="8">
        <v>43789</v>
      </c>
      <c r="B691" s="9" t="s">
        <v>39</v>
      </c>
      <c r="C691" s="10"/>
      <c r="E691" s="8">
        <v>43789</v>
      </c>
      <c r="F691" s="11"/>
      <c r="G691" s="11"/>
    </row>
    <row r="692" spans="1:7" ht="17">
      <c r="A692" s="8">
        <v>43790</v>
      </c>
      <c r="B692" s="9" t="s">
        <v>3</v>
      </c>
      <c r="C692" s="10"/>
      <c r="E692" s="8">
        <v>43790</v>
      </c>
      <c r="F692" s="11"/>
      <c r="G692" s="11"/>
    </row>
    <row r="693" spans="1:7">
      <c r="A693" s="12">
        <v>43791</v>
      </c>
      <c r="B693" s="13"/>
      <c r="C693" s="14"/>
      <c r="E693" s="12">
        <v>43791</v>
      </c>
      <c r="F693" s="11"/>
      <c r="G693" s="11"/>
    </row>
    <row r="694" spans="1:7">
      <c r="A694" s="12">
        <v>43792</v>
      </c>
      <c r="B694" s="13"/>
      <c r="C694" s="14"/>
      <c r="E694" s="12">
        <v>43792</v>
      </c>
      <c r="F694" s="11"/>
      <c r="G694" s="11"/>
    </row>
    <row r="695" spans="1:7">
      <c r="A695" s="12">
        <v>43793</v>
      </c>
      <c r="B695" s="13"/>
      <c r="C695" s="14"/>
      <c r="E695" s="12">
        <v>43793</v>
      </c>
      <c r="F695" s="11"/>
      <c r="G695" s="11"/>
    </row>
    <row r="696" spans="1:7">
      <c r="A696" s="12">
        <v>43794</v>
      </c>
      <c r="B696" s="13"/>
      <c r="C696" s="14"/>
      <c r="E696" s="12">
        <v>43794</v>
      </c>
      <c r="F696" s="11"/>
      <c r="G696" s="11"/>
    </row>
    <row r="697" spans="1:7" ht="17">
      <c r="A697" s="8">
        <v>43795</v>
      </c>
      <c r="B697" s="9" t="s">
        <v>39</v>
      </c>
      <c r="C697" s="10"/>
      <c r="E697" s="8">
        <v>43795</v>
      </c>
      <c r="F697" s="11"/>
      <c r="G697" s="11"/>
    </row>
    <row r="698" spans="1:7" ht="17">
      <c r="A698" s="8">
        <v>43796</v>
      </c>
      <c r="B698" s="9" t="s">
        <v>39</v>
      </c>
      <c r="C698" s="10"/>
      <c r="E698" s="8">
        <v>43796</v>
      </c>
      <c r="F698" s="11"/>
      <c r="G698" s="11"/>
    </row>
    <row r="699" spans="1:7" ht="17">
      <c r="A699" s="8">
        <v>43797</v>
      </c>
      <c r="B699" s="9" t="s">
        <v>3</v>
      </c>
      <c r="C699" s="10"/>
      <c r="E699" s="8">
        <v>43797</v>
      </c>
      <c r="F699" s="11"/>
      <c r="G699" s="11"/>
    </row>
    <row r="700" spans="1:7">
      <c r="A700" s="12">
        <v>43798</v>
      </c>
      <c r="B700" s="13"/>
      <c r="C700" s="14"/>
      <c r="E700" s="12">
        <v>43798</v>
      </c>
      <c r="F700" s="11"/>
      <c r="G700" s="11"/>
    </row>
    <row r="701" spans="1:7">
      <c r="A701" s="12">
        <v>43799</v>
      </c>
      <c r="B701" s="13"/>
      <c r="C701" s="14"/>
      <c r="E701" s="12">
        <v>43799</v>
      </c>
      <c r="F701" s="11"/>
      <c r="G701" s="11"/>
    </row>
    <row r="702" spans="1:7">
      <c r="A702" s="12">
        <v>43800</v>
      </c>
      <c r="B702" s="13"/>
      <c r="C702" s="14"/>
      <c r="E702" s="12">
        <v>43800</v>
      </c>
      <c r="F702" s="11"/>
      <c r="G702" s="11"/>
    </row>
    <row r="703" spans="1:7">
      <c r="A703" s="12">
        <v>43801</v>
      </c>
      <c r="B703" s="13"/>
      <c r="C703" s="14"/>
      <c r="E703" s="12">
        <v>43801</v>
      </c>
      <c r="F703" s="11"/>
      <c r="G703" s="11"/>
    </row>
    <row r="704" spans="1:7" ht="17">
      <c r="A704" s="8">
        <v>43802</v>
      </c>
      <c r="B704" s="9" t="s">
        <v>39</v>
      </c>
      <c r="C704" s="10"/>
      <c r="E704" s="8">
        <v>43802</v>
      </c>
      <c r="F704" s="11"/>
      <c r="G704" s="11"/>
    </row>
    <row r="705" spans="1:7" ht="17">
      <c r="A705" s="8">
        <v>43803</v>
      </c>
      <c r="B705" s="9" t="s">
        <v>39</v>
      </c>
      <c r="C705" s="10"/>
      <c r="E705" s="8">
        <v>43803</v>
      </c>
      <c r="F705" s="11"/>
      <c r="G705" s="11"/>
    </row>
    <row r="706" spans="1:7" ht="17">
      <c r="A706" s="8">
        <v>43804</v>
      </c>
      <c r="B706" s="9" t="s">
        <v>3</v>
      </c>
      <c r="C706" s="10"/>
      <c r="E706" s="8">
        <v>43804</v>
      </c>
      <c r="F706" s="11"/>
      <c r="G706" s="11"/>
    </row>
    <row r="707" spans="1:7">
      <c r="A707" s="12">
        <v>43805</v>
      </c>
      <c r="B707" s="13"/>
      <c r="C707" s="14"/>
      <c r="E707" s="12">
        <v>43805</v>
      </c>
      <c r="F707" s="11"/>
      <c r="G707" s="11"/>
    </row>
    <row r="708" spans="1:7">
      <c r="A708" s="12">
        <v>43806</v>
      </c>
      <c r="B708" s="13"/>
      <c r="C708" s="14"/>
      <c r="E708" s="12">
        <v>43806</v>
      </c>
      <c r="F708" s="11"/>
      <c r="G708" s="11"/>
    </row>
    <row r="709" spans="1:7">
      <c r="A709" s="12">
        <v>43807</v>
      </c>
      <c r="B709" s="13"/>
      <c r="C709" s="14"/>
      <c r="E709" s="12">
        <v>43807</v>
      </c>
      <c r="F709" s="11"/>
      <c r="G709" s="11"/>
    </row>
    <row r="710" spans="1:7">
      <c r="A710" s="12">
        <v>43808</v>
      </c>
      <c r="B710" s="13"/>
      <c r="C710" s="14"/>
      <c r="E710" s="12">
        <v>43808</v>
      </c>
      <c r="F710" s="11"/>
      <c r="G710" s="11"/>
    </row>
    <row r="711" spans="1:7" ht="17">
      <c r="A711" s="8">
        <v>43809</v>
      </c>
      <c r="B711" s="9" t="s">
        <v>39</v>
      </c>
      <c r="C711" s="10"/>
      <c r="E711" s="8">
        <v>43809</v>
      </c>
      <c r="F711" s="11"/>
      <c r="G711" s="11"/>
    </row>
    <row r="712" spans="1:7" ht="21">
      <c r="A712" s="8">
        <v>43810</v>
      </c>
      <c r="B712" s="9" t="s">
        <v>39</v>
      </c>
      <c r="C712" s="55" t="s">
        <v>78</v>
      </c>
      <c r="E712" s="8">
        <v>43810</v>
      </c>
      <c r="F712" s="11"/>
      <c r="G712" s="11"/>
    </row>
    <row r="713" spans="1:7" ht="17">
      <c r="A713" s="8">
        <v>43811</v>
      </c>
      <c r="B713" s="9" t="s">
        <v>3</v>
      </c>
      <c r="C713" s="10"/>
      <c r="E713" s="8">
        <v>43811</v>
      </c>
      <c r="F713" s="11"/>
      <c r="G713" s="11"/>
    </row>
    <row r="714" spans="1:7">
      <c r="A714" s="12">
        <v>43812</v>
      </c>
      <c r="B714" s="13"/>
      <c r="C714" s="14"/>
      <c r="E714" s="12">
        <v>43812</v>
      </c>
      <c r="F714" s="11"/>
      <c r="G714" s="11"/>
    </row>
    <row r="715" spans="1:7">
      <c r="A715" s="12">
        <v>43813</v>
      </c>
      <c r="B715" s="13"/>
      <c r="C715" s="14" t="s">
        <v>98</v>
      </c>
      <c r="E715" s="12">
        <v>43813</v>
      </c>
      <c r="F715" s="11"/>
      <c r="G715" s="11"/>
    </row>
    <row r="716" spans="1:7">
      <c r="A716" s="12">
        <v>43814</v>
      </c>
      <c r="B716" s="13"/>
      <c r="C716" s="14" t="s">
        <v>99</v>
      </c>
      <c r="E716" s="12">
        <v>43814</v>
      </c>
      <c r="F716" s="11"/>
      <c r="G716" s="11"/>
    </row>
    <row r="717" spans="1:7">
      <c r="A717" s="12">
        <v>43815</v>
      </c>
      <c r="B717" s="13"/>
      <c r="C717" s="14" t="s">
        <v>100</v>
      </c>
      <c r="E717" s="12">
        <v>43815</v>
      </c>
      <c r="F717" s="11"/>
      <c r="G717" s="11"/>
    </row>
    <row r="718" spans="1:7" ht="17">
      <c r="A718" s="8">
        <v>43816</v>
      </c>
      <c r="B718" s="9" t="s">
        <v>3</v>
      </c>
      <c r="C718" s="10"/>
      <c r="E718" s="8">
        <v>43816</v>
      </c>
      <c r="F718" s="11"/>
      <c r="G718" s="11"/>
    </row>
    <row r="719" spans="1:7" ht="17">
      <c r="A719" s="8">
        <v>43817</v>
      </c>
      <c r="B719" s="9" t="s">
        <v>3</v>
      </c>
      <c r="C719" s="10"/>
      <c r="E719" s="8">
        <v>43817</v>
      </c>
      <c r="F719" s="11"/>
      <c r="G719" s="11"/>
    </row>
    <row r="720" spans="1:7" ht="17">
      <c r="A720" s="8">
        <v>43818</v>
      </c>
      <c r="B720" s="9" t="s">
        <v>3</v>
      </c>
      <c r="C720" s="10"/>
      <c r="E720" s="8">
        <v>43818</v>
      </c>
      <c r="F720" s="11"/>
      <c r="G720" s="11"/>
    </row>
    <row r="721" spans="1:7" ht="21">
      <c r="A721" s="12">
        <v>43819</v>
      </c>
      <c r="B721" s="13"/>
      <c r="C721" s="56" t="s">
        <v>78</v>
      </c>
      <c r="E721" s="12">
        <v>43819</v>
      </c>
      <c r="F721" s="11"/>
      <c r="G721" s="11"/>
    </row>
    <row r="722" spans="1:7">
      <c r="A722" s="12">
        <v>43820</v>
      </c>
      <c r="B722" s="13"/>
      <c r="C722" s="14"/>
      <c r="E722" s="12">
        <v>43820</v>
      </c>
      <c r="F722" s="11"/>
      <c r="G722" s="11"/>
    </row>
    <row r="723" spans="1:7">
      <c r="A723" s="12">
        <v>43821</v>
      </c>
      <c r="B723" s="13"/>
      <c r="C723" s="14"/>
      <c r="E723" s="12">
        <v>43821</v>
      </c>
      <c r="F723" s="11"/>
      <c r="G723" s="11"/>
    </row>
    <row r="724" spans="1:7">
      <c r="A724" s="12">
        <v>43822</v>
      </c>
      <c r="B724" s="13"/>
      <c r="C724" s="14" t="s">
        <v>95</v>
      </c>
      <c r="E724" s="12">
        <v>43822</v>
      </c>
      <c r="F724" s="11"/>
      <c r="G724" s="11"/>
    </row>
    <row r="725" spans="1:7" ht="17">
      <c r="A725" s="8">
        <v>43823</v>
      </c>
      <c r="B725" s="9"/>
      <c r="C725" s="9" t="s">
        <v>96</v>
      </c>
      <c r="E725" s="8">
        <v>43823</v>
      </c>
      <c r="F725" s="11"/>
      <c r="G725" s="11"/>
    </row>
    <row r="726" spans="1:7">
      <c r="A726" s="8">
        <v>43824</v>
      </c>
      <c r="B726" s="9"/>
      <c r="C726" s="10" t="s">
        <v>97</v>
      </c>
      <c r="E726" s="8">
        <v>43824</v>
      </c>
      <c r="F726" s="11"/>
      <c r="G726" s="11"/>
    </row>
    <row r="727" spans="1:7" ht="17">
      <c r="A727" s="8">
        <v>43825</v>
      </c>
      <c r="B727" s="9" t="s">
        <v>1</v>
      </c>
      <c r="C727" s="10" t="s">
        <v>103</v>
      </c>
      <c r="D727" s="3" t="s">
        <v>104</v>
      </c>
      <c r="E727" s="8">
        <v>43825</v>
      </c>
      <c r="F727" s="11"/>
      <c r="G727" s="11"/>
    </row>
    <row r="728" spans="1:7">
      <c r="A728" s="12">
        <v>43826</v>
      </c>
      <c r="B728" s="13"/>
      <c r="C728" s="14"/>
      <c r="E728" s="12">
        <v>43826</v>
      </c>
      <c r="F728" s="11"/>
      <c r="G728" s="11"/>
    </row>
    <row r="729" spans="1:7">
      <c r="A729" s="12">
        <v>43827</v>
      </c>
      <c r="B729" s="13"/>
      <c r="C729" s="14"/>
      <c r="E729" s="12">
        <v>43827</v>
      </c>
      <c r="F729" s="11"/>
      <c r="G729" s="11"/>
    </row>
    <row r="730" spans="1:7">
      <c r="A730" s="12">
        <v>43828</v>
      </c>
      <c r="B730" s="13"/>
      <c r="C730" s="14"/>
      <c r="E730" s="12">
        <v>43828</v>
      </c>
      <c r="F730" s="11"/>
      <c r="G730" s="11"/>
    </row>
    <row r="731" spans="1:7">
      <c r="A731" s="12">
        <v>43829</v>
      </c>
      <c r="B731" s="13"/>
      <c r="C731" s="14"/>
      <c r="E731" s="12">
        <v>43829</v>
      </c>
      <c r="F731" s="11"/>
      <c r="G731" s="11"/>
    </row>
    <row r="732" spans="1:7" ht="17">
      <c r="A732" s="8">
        <v>43830</v>
      </c>
      <c r="B732" s="9" t="s">
        <v>0</v>
      </c>
      <c r="C732" s="10"/>
      <c r="E732" s="8">
        <v>43830</v>
      </c>
      <c r="F732" s="11"/>
      <c r="G732" s="11"/>
    </row>
    <row r="733" spans="1:7" ht="17">
      <c r="A733" s="8">
        <v>43831</v>
      </c>
      <c r="B733" s="9" t="s">
        <v>1</v>
      </c>
      <c r="C733" s="10" t="s">
        <v>103</v>
      </c>
      <c r="D733" s="3" t="s">
        <v>104</v>
      </c>
      <c r="E733" s="8">
        <v>43831</v>
      </c>
      <c r="F733" s="11"/>
      <c r="G733" s="11"/>
    </row>
    <row r="734" spans="1:7" ht="17">
      <c r="A734" s="8">
        <v>43832</v>
      </c>
      <c r="B734" s="9" t="s">
        <v>1</v>
      </c>
      <c r="C734" s="10" t="s">
        <v>103</v>
      </c>
      <c r="D734" s="3" t="s">
        <v>104</v>
      </c>
      <c r="E734" s="8">
        <v>43832</v>
      </c>
      <c r="F734" s="11"/>
      <c r="G734" s="11"/>
    </row>
    <row r="735" spans="1:7">
      <c r="A735" s="12">
        <v>43833</v>
      </c>
      <c r="B735" s="13"/>
      <c r="C735" s="14"/>
      <c r="E735" s="12">
        <v>43833</v>
      </c>
      <c r="F735" s="11"/>
      <c r="G735" s="11"/>
    </row>
    <row r="736" spans="1:7">
      <c r="A736" s="12">
        <v>43834</v>
      </c>
      <c r="B736" s="13"/>
      <c r="C736" s="14"/>
      <c r="E736" s="12">
        <v>43834</v>
      </c>
      <c r="F736" s="11"/>
      <c r="G736" s="11"/>
    </row>
    <row r="737" spans="1:7">
      <c r="A737" s="12">
        <v>43835</v>
      </c>
      <c r="B737" s="13"/>
      <c r="C737" s="14"/>
      <c r="E737" s="12">
        <v>43835</v>
      </c>
      <c r="F737" s="11"/>
      <c r="G737" s="11"/>
    </row>
    <row r="738" spans="1:7">
      <c r="A738" s="12">
        <v>43836</v>
      </c>
      <c r="B738" s="13"/>
      <c r="C738" s="14"/>
      <c r="E738" s="12">
        <v>43836</v>
      </c>
      <c r="F738" s="11"/>
      <c r="G738" s="11"/>
    </row>
    <row r="739" spans="1:7" ht="17">
      <c r="A739" s="8">
        <v>43837</v>
      </c>
      <c r="B739" s="9" t="s">
        <v>1</v>
      </c>
      <c r="C739" s="10" t="s">
        <v>103</v>
      </c>
      <c r="D739" s="3" t="s">
        <v>104</v>
      </c>
      <c r="E739" s="8">
        <v>43837</v>
      </c>
      <c r="F739" s="11"/>
      <c r="G739" s="11"/>
    </row>
    <row r="740" spans="1:7" ht="17">
      <c r="A740" s="8">
        <v>43838</v>
      </c>
      <c r="B740" s="9" t="s">
        <v>1</v>
      </c>
      <c r="C740" s="10" t="s">
        <v>103</v>
      </c>
      <c r="D740" s="3" t="s">
        <v>104</v>
      </c>
      <c r="E740" s="8">
        <v>43838</v>
      </c>
      <c r="F740" s="11"/>
      <c r="G740" s="11"/>
    </row>
    <row r="741" spans="1:7" ht="17">
      <c r="A741" s="8">
        <v>43839</v>
      </c>
      <c r="B741" s="9" t="s">
        <v>1</v>
      </c>
      <c r="C741" s="10" t="s">
        <v>103</v>
      </c>
      <c r="D741" s="3" t="s">
        <v>104</v>
      </c>
      <c r="E741" s="8">
        <v>43839</v>
      </c>
      <c r="F741" s="11"/>
      <c r="G741" s="11"/>
    </row>
    <row r="742" spans="1:7">
      <c r="A742" s="12">
        <v>43840</v>
      </c>
      <c r="B742" s="13"/>
      <c r="C742" s="14"/>
      <c r="E742" s="12">
        <v>43840</v>
      </c>
      <c r="F742" s="11"/>
      <c r="G742" s="11"/>
    </row>
    <row r="743" spans="1:7">
      <c r="A743" s="12">
        <v>43841</v>
      </c>
      <c r="B743" s="13"/>
      <c r="C743" s="14"/>
      <c r="E743" s="12">
        <v>43841</v>
      </c>
      <c r="F743" s="11"/>
      <c r="G743" s="11"/>
    </row>
    <row r="744" spans="1:7">
      <c r="A744" s="12">
        <v>43842</v>
      </c>
      <c r="B744" s="13"/>
      <c r="C744" s="14"/>
      <c r="E744" s="12">
        <v>43842</v>
      </c>
      <c r="F744" s="11"/>
      <c r="G744" s="11"/>
    </row>
    <row r="745" spans="1:7">
      <c r="A745" s="12">
        <v>43843</v>
      </c>
      <c r="B745" s="13"/>
      <c r="C745" s="14"/>
      <c r="E745" s="12">
        <v>43843</v>
      </c>
      <c r="F745" s="11"/>
      <c r="G745" s="11"/>
    </row>
    <row r="746" spans="1:7" ht="17">
      <c r="A746" s="8">
        <v>43844</v>
      </c>
      <c r="B746" s="9" t="s">
        <v>3</v>
      </c>
      <c r="C746" s="10" t="s">
        <v>105</v>
      </c>
      <c r="E746" s="8">
        <v>43844</v>
      </c>
      <c r="F746" s="11"/>
      <c r="G746" s="11"/>
    </row>
    <row r="747" spans="1:7" ht="17">
      <c r="A747" s="8">
        <v>43845</v>
      </c>
      <c r="B747" s="9" t="s">
        <v>3</v>
      </c>
      <c r="C747" s="10"/>
      <c r="E747" s="8">
        <v>43845</v>
      </c>
      <c r="F747" s="11"/>
      <c r="G747" s="11"/>
    </row>
    <row r="748" spans="1:7" ht="21">
      <c r="A748" s="8">
        <v>43846</v>
      </c>
      <c r="B748" s="9" t="s">
        <v>3</v>
      </c>
      <c r="C748" s="55" t="s">
        <v>78</v>
      </c>
      <c r="E748" s="8">
        <v>43846</v>
      </c>
      <c r="F748" s="11"/>
      <c r="G748" s="11"/>
    </row>
    <row r="749" spans="1:7">
      <c r="A749" s="12">
        <v>43847</v>
      </c>
      <c r="B749" s="13"/>
      <c r="C749" s="14"/>
      <c r="E749" s="12">
        <v>43847</v>
      </c>
      <c r="F749" s="11"/>
      <c r="G749" s="11"/>
    </row>
    <row r="750" spans="1:7">
      <c r="A750" s="12">
        <v>43848</v>
      </c>
      <c r="B750" s="13"/>
      <c r="C750" s="14"/>
      <c r="E750" s="12">
        <v>43848</v>
      </c>
      <c r="F750" s="11"/>
      <c r="G750" s="11"/>
    </row>
    <row r="751" spans="1:7">
      <c r="A751" s="12">
        <v>43849</v>
      </c>
      <c r="B751" s="13"/>
      <c r="C751" s="14"/>
      <c r="E751" s="12">
        <v>43849</v>
      </c>
      <c r="F751" s="11"/>
      <c r="G751" s="11"/>
    </row>
    <row r="752" spans="1:7">
      <c r="A752" s="12">
        <v>43850</v>
      </c>
      <c r="B752" s="13"/>
      <c r="C752" s="14"/>
      <c r="E752" s="12">
        <v>43850</v>
      </c>
      <c r="F752" s="11"/>
      <c r="G752" s="11"/>
    </row>
    <row r="753" spans="1:7" ht="17">
      <c r="A753" s="8">
        <v>43851</v>
      </c>
      <c r="B753" s="9" t="s">
        <v>3</v>
      </c>
      <c r="C753" s="10"/>
      <c r="E753" s="8">
        <v>43851</v>
      </c>
      <c r="F753" s="11"/>
      <c r="G753" s="11"/>
    </row>
    <row r="754" spans="1:7" ht="17">
      <c r="A754" s="8">
        <v>43852</v>
      </c>
      <c r="B754" s="9" t="s">
        <v>3</v>
      </c>
      <c r="C754" s="10"/>
      <c r="E754" s="8">
        <v>43852</v>
      </c>
      <c r="F754" s="11"/>
      <c r="G754" s="11"/>
    </row>
    <row r="755" spans="1:7" ht="21">
      <c r="A755" s="8">
        <v>43853</v>
      </c>
      <c r="B755" s="9" t="s">
        <v>3</v>
      </c>
      <c r="C755" s="55" t="s">
        <v>78</v>
      </c>
      <c r="E755" s="8">
        <v>43853</v>
      </c>
      <c r="F755" s="11"/>
      <c r="G755" s="11"/>
    </row>
    <row r="756" spans="1:7">
      <c r="A756" s="12">
        <v>43854</v>
      </c>
      <c r="B756" s="13"/>
      <c r="C756" s="14"/>
      <c r="E756" s="12">
        <v>43854</v>
      </c>
      <c r="F756" s="11"/>
      <c r="G756" s="11"/>
    </row>
    <row r="757" spans="1:7">
      <c r="A757" s="12">
        <v>43855</v>
      </c>
      <c r="B757" s="13"/>
      <c r="C757" s="14"/>
      <c r="E757" s="12">
        <v>43855</v>
      </c>
      <c r="F757" s="11"/>
      <c r="G757" s="11"/>
    </row>
    <row r="758" spans="1:7">
      <c r="A758" s="12">
        <v>43856</v>
      </c>
      <c r="B758" s="13"/>
      <c r="C758" s="14"/>
      <c r="E758" s="12">
        <v>43856</v>
      </c>
      <c r="F758" s="11"/>
      <c r="G758" s="11"/>
    </row>
    <row r="759" spans="1:7">
      <c r="A759" s="12">
        <v>43857</v>
      </c>
      <c r="B759" s="13"/>
      <c r="C759" s="14"/>
      <c r="E759" s="12">
        <v>43857</v>
      </c>
      <c r="F759" s="11"/>
      <c r="G759" s="11"/>
    </row>
    <row r="760" spans="1:7" ht="17">
      <c r="A760" s="8">
        <v>43858</v>
      </c>
      <c r="B760" s="9" t="s">
        <v>3</v>
      </c>
      <c r="C760" s="10"/>
      <c r="E760" s="8">
        <v>43858</v>
      </c>
      <c r="F760" s="11"/>
      <c r="G760" s="11"/>
    </row>
    <row r="761" spans="1:7" ht="21">
      <c r="A761" s="8">
        <v>43859</v>
      </c>
      <c r="B761" s="9" t="s">
        <v>3</v>
      </c>
      <c r="C761" s="55" t="s">
        <v>78</v>
      </c>
      <c r="E761" s="8">
        <v>43859</v>
      </c>
      <c r="F761" s="11"/>
      <c r="G761" s="11"/>
    </row>
    <row r="762" spans="1:7" ht="17">
      <c r="A762" s="8">
        <v>43860</v>
      </c>
      <c r="B762" s="9" t="s">
        <v>3</v>
      </c>
      <c r="C762" s="10"/>
      <c r="E762" s="8">
        <v>43860</v>
      </c>
      <c r="F762" s="11"/>
      <c r="G762" s="11"/>
    </row>
    <row r="763" spans="1:7">
      <c r="A763" s="12">
        <v>43861</v>
      </c>
      <c r="B763" s="13"/>
      <c r="C763" s="14"/>
      <c r="E763" s="12">
        <v>43861</v>
      </c>
      <c r="F763" s="11"/>
      <c r="G763" s="11"/>
    </row>
    <row r="764" spans="1:7">
      <c r="A764" s="12">
        <v>43862</v>
      </c>
      <c r="B764" s="13"/>
      <c r="C764" s="14"/>
      <c r="E764" s="12">
        <v>43862</v>
      </c>
      <c r="F764" s="11"/>
      <c r="G764" s="11"/>
    </row>
    <row r="765" spans="1:7">
      <c r="A765" s="12">
        <v>43863</v>
      </c>
      <c r="B765" s="13"/>
      <c r="C765" s="14"/>
      <c r="E765" s="12">
        <v>43863</v>
      </c>
      <c r="F765" s="11"/>
      <c r="G765" s="11"/>
    </row>
    <row r="766" spans="1:7">
      <c r="A766" s="12">
        <v>43864</v>
      </c>
      <c r="B766" s="13"/>
      <c r="C766" s="14"/>
      <c r="E766" s="12">
        <v>43864</v>
      </c>
      <c r="F766" s="11"/>
      <c r="G766" s="11"/>
    </row>
    <row r="767" spans="1:7" ht="17">
      <c r="A767" s="8">
        <v>43865</v>
      </c>
      <c r="B767" s="9" t="s">
        <v>3</v>
      </c>
      <c r="C767" s="10"/>
      <c r="E767" s="8">
        <v>43865</v>
      </c>
      <c r="F767" s="11"/>
      <c r="G767" s="11"/>
    </row>
    <row r="768" spans="1:7" ht="17">
      <c r="A768" s="8">
        <v>43866</v>
      </c>
      <c r="B768" s="9" t="s">
        <v>3</v>
      </c>
      <c r="C768" s="10"/>
      <c r="E768" s="8">
        <v>43866</v>
      </c>
      <c r="F768" s="11"/>
      <c r="G768" s="11"/>
    </row>
    <row r="769" spans="1:7" ht="17">
      <c r="A769" s="8">
        <v>43867</v>
      </c>
      <c r="B769" s="9" t="s">
        <v>3</v>
      </c>
      <c r="C769" s="10"/>
      <c r="E769" s="8">
        <v>43867</v>
      </c>
      <c r="F769" s="11"/>
      <c r="G769" s="11"/>
    </row>
    <row r="770" spans="1:7">
      <c r="A770" s="12">
        <v>43868</v>
      </c>
      <c r="B770" s="13"/>
      <c r="C770" s="14"/>
      <c r="E770" s="12">
        <v>43868</v>
      </c>
      <c r="F770" s="11"/>
      <c r="G770" s="11"/>
    </row>
    <row r="771" spans="1:7">
      <c r="A771" s="12">
        <v>43869</v>
      </c>
      <c r="B771" s="13"/>
      <c r="C771" s="14"/>
      <c r="E771" s="12">
        <v>43869</v>
      </c>
      <c r="F771" s="11"/>
      <c r="G771" s="11"/>
    </row>
    <row r="772" spans="1:7">
      <c r="A772" s="12">
        <v>43870</v>
      </c>
      <c r="B772" s="13"/>
      <c r="C772" s="14"/>
      <c r="E772" s="12">
        <v>43870</v>
      </c>
      <c r="F772" s="11"/>
      <c r="G772" s="11"/>
    </row>
    <row r="773" spans="1:7">
      <c r="A773" s="12">
        <v>43871</v>
      </c>
      <c r="B773" s="13"/>
      <c r="C773" s="14"/>
      <c r="E773" s="12">
        <v>43871</v>
      </c>
      <c r="F773" s="11"/>
      <c r="G773" s="11"/>
    </row>
    <row r="774" spans="1:7" ht="17">
      <c r="A774" s="8">
        <v>43872</v>
      </c>
      <c r="B774" s="9" t="s">
        <v>3</v>
      </c>
      <c r="C774" s="10"/>
      <c r="E774" s="8">
        <v>43872</v>
      </c>
      <c r="F774" s="11"/>
      <c r="G774" s="11"/>
    </row>
    <row r="775" spans="1:7" ht="17">
      <c r="A775" s="8">
        <v>43873</v>
      </c>
      <c r="B775" s="9" t="s">
        <v>3</v>
      </c>
      <c r="C775" s="10"/>
      <c r="E775" s="8">
        <v>43873</v>
      </c>
      <c r="F775" s="11"/>
      <c r="G775" s="11"/>
    </row>
    <row r="776" spans="1:7" ht="17">
      <c r="A776" s="8">
        <v>43874</v>
      </c>
      <c r="B776" s="9" t="s">
        <v>3</v>
      </c>
      <c r="C776" s="10"/>
      <c r="E776" s="8">
        <v>43874</v>
      </c>
      <c r="F776" s="11"/>
      <c r="G776" s="11"/>
    </row>
    <row r="777" spans="1:7">
      <c r="A777" s="12">
        <v>43875</v>
      </c>
      <c r="B777" s="13"/>
      <c r="C777" s="14"/>
      <c r="E777" s="12">
        <v>43875</v>
      </c>
      <c r="F777" s="11"/>
      <c r="G777" s="11"/>
    </row>
    <row r="778" spans="1:7">
      <c r="A778" s="12">
        <v>43876</v>
      </c>
      <c r="B778" s="13"/>
      <c r="C778" s="14"/>
      <c r="E778" s="12">
        <v>43876</v>
      </c>
      <c r="F778" s="11"/>
      <c r="G778" s="11"/>
    </row>
    <row r="779" spans="1:7">
      <c r="A779" s="12">
        <v>43877</v>
      </c>
      <c r="B779" s="13"/>
      <c r="C779" s="14"/>
      <c r="E779" s="12">
        <v>43877</v>
      </c>
      <c r="F779" s="11"/>
      <c r="G779" s="11"/>
    </row>
    <row r="780" spans="1:7">
      <c r="A780" s="12">
        <v>43878</v>
      </c>
      <c r="B780" s="13"/>
      <c r="C780" s="14"/>
      <c r="E780" s="12">
        <v>43878</v>
      </c>
      <c r="F780" s="11"/>
      <c r="G780" s="11"/>
    </row>
    <row r="781" spans="1:7" ht="21">
      <c r="A781" s="8">
        <v>43879</v>
      </c>
      <c r="B781" s="9" t="s">
        <v>3</v>
      </c>
      <c r="C781" s="55" t="s">
        <v>78</v>
      </c>
      <c r="E781" s="8">
        <v>43879</v>
      </c>
      <c r="F781" s="11"/>
      <c r="G781" s="11"/>
    </row>
    <row r="782" spans="1:7" ht="17">
      <c r="A782" s="8">
        <v>43880</v>
      </c>
      <c r="B782" s="9" t="s">
        <v>3</v>
      </c>
      <c r="C782" s="10"/>
      <c r="E782" s="8">
        <v>43880</v>
      </c>
      <c r="F782" s="11"/>
      <c r="G782" s="11"/>
    </row>
    <row r="783" spans="1:7" ht="17">
      <c r="A783" s="8">
        <v>43881</v>
      </c>
      <c r="B783" s="9" t="s">
        <v>3</v>
      </c>
      <c r="C783" s="10"/>
      <c r="E783" s="8">
        <v>43881</v>
      </c>
      <c r="F783" s="11"/>
      <c r="G783" s="11"/>
    </row>
    <row r="784" spans="1:7">
      <c r="A784" s="12">
        <v>43882</v>
      </c>
      <c r="B784" s="13"/>
      <c r="C784" s="14"/>
      <c r="E784" s="12">
        <v>43882</v>
      </c>
      <c r="F784" s="11"/>
      <c r="G784" s="11"/>
    </row>
    <row r="785" spans="1:7">
      <c r="A785" s="12">
        <v>43883</v>
      </c>
      <c r="B785" s="13"/>
      <c r="C785" s="14"/>
      <c r="E785" s="12">
        <v>43883</v>
      </c>
      <c r="F785" s="11"/>
      <c r="G785" s="11"/>
    </row>
    <row r="786" spans="1:7">
      <c r="A786" s="12">
        <v>43884</v>
      </c>
      <c r="B786" s="13"/>
      <c r="C786" s="14"/>
      <c r="E786" s="12">
        <v>43884</v>
      </c>
      <c r="F786" s="11"/>
      <c r="G786" s="11"/>
    </row>
    <row r="787" spans="1:7">
      <c r="A787" s="12">
        <v>43885</v>
      </c>
      <c r="B787" s="13"/>
      <c r="C787" s="14"/>
      <c r="E787" s="12">
        <v>43885</v>
      </c>
      <c r="F787" s="11"/>
      <c r="G787" s="11"/>
    </row>
    <row r="788" spans="1:7" ht="17">
      <c r="A788" s="8">
        <v>43886</v>
      </c>
      <c r="B788" s="9" t="s">
        <v>3</v>
      </c>
      <c r="C788" s="10"/>
      <c r="E788" s="8">
        <v>43886</v>
      </c>
      <c r="F788" s="11"/>
      <c r="G788" s="11"/>
    </row>
    <row r="789" spans="1:7" ht="17">
      <c r="A789" s="8">
        <v>43887</v>
      </c>
      <c r="B789" s="9" t="s">
        <v>3</v>
      </c>
      <c r="C789" s="10"/>
      <c r="E789" s="8">
        <v>43887</v>
      </c>
      <c r="F789" s="11"/>
      <c r="G789" s="11"/>
    </row>
    <row r="790" spans="1:7" ht="17">
      <c r="A790" s="8">
        <v>43888</v>
      </c>
      <c r="B790" s="9" t="s">
        <v>3</v>
      </c>
      <c r="C790" s="10"/>
      <c r="E790" s="8">
        <v>43888</v>
      </c>
      <c r="F790" s="11"/>
      <c r="G790" s="11"/>
    </row>
    <row r="791" spans="1:7">
      <c r="A791" s="12">
        <v>43889</v>
      </c>
      <c r="B791" s="13"/>
      <c r="C791" s="14"/>
      <c r="E791" s="12">
        <v>43889</v>
      </c>
      <c r="F791" s="11"/>
      <c r="G791" s="11"/>
    </row>
    <row r="792" spans="1:7">
      <c r="A792" s="12">
        <v>43890</v>
      </c>
      <c r="B792" s="13"/>
      <c r="C792" s="14"/>
      <c r="E792" s="12">
        <v>43890</v>
      </c>
      <c r="F792" s="11"/>
      <c r="G792" s="11"/>
    </row>
    <row r="793" spans="1:7">
      <c r="A793" s="12">
        <v>43891</v>
      </c>
      <c r="B793" s="13"/>
      <c r="C793" s="14"/>
      <c r="E793" s="12">
        <v>43891</v>
      </c>
      <c r="F793" s="11"/>
      <c r="G793" s="11"/>
    </row>
    <row r="794" spans="1:7">
      <c r="A794" s="12">
        <v>43892</v>
      </c>
      <c r="B794" s="13"/>
      <c r="C794" s="14"/>
      <c r="E794" s="12">
        <v>43892</v>
      </c>
      <c r="F794" s="11"/>
      <c r="G794" s="11"/>
    </row>
    <row r="795" spans="1:7" ht="17">
      <c r="A795" s="8">
        <v>43893</v>
      </c>
      <c r="B795" s="9" t="s">
        <v>3</v>
      </c>
      <c r="C795" s="10"/>
      <c r="E795" s="8">
        <v>43893</v>
      </c>
      <c r="F795" s="11"/>
      <c r="G795" s="11"/>
    </row>
    <row r="796" spans="1:7" ht="21">
      <c r="A796" s="8">
        <v>43894</v>
      </c>
      <c r="B796" s="9" t="s">
        <v>3</v>
      </c>
      <c r="C796" s="55" t="s">
        <v>78</v>
      </c>
      <c r="E796" s="8">
        <v>43894</v>
      </c>
      <c r="F796" s="11"/>
      <c r="G796" s="11"/>
    </row>
    <row r="797" spans="1:7" ht="17">
      <c r="A797" s="8">
        <v>43895</v>
      </c>
      <c r="B797" s="9" t="s">
        <v>3</v>
      </c>
      <c r="C797" s="10" t="s">
        <v>106</v>
      </c>
      <c r="E797" s="8">
        <v>43895</v>
      </c>
      <c r="F797" s="11"/>
      <c r="G797" s="11"/>
    </row>
    <row r="798" spans="1:7">
      <c r="A798" s="12">
        <v>43896</v>
      </c>
      <c r="B798" s="13"/>
      <c r="C798" s="14"/>
      <c r="E798" s="12">
        <v>43896</v>
      </c>
      <c r="F798" s="11"/>
      <c r="G798" s="11"/>
    </row>
    <row r="799" spans="1:7">
      <c r="A799" s="12">
        <v>43897</v>
      </c>
      <c r="B799" s="13"/>
      <c r="C799" s="14"/>
      <c r="E799" s="12">
        <v>43897</v>
      </c>
      <c r="F799" s="11"/>
      <c r="G799" s="11"/>
    </row>
    <row r="800" spans="1:7">
      <c r="A800" s="12">
        <v>43898</v>
      </c>
      <c r="B800" s="13"/>
      <c r="C800" s="14"/>
      <c r="E800" s="12">
        <v>43898</v>
      </c>
      <c r="F800" s="11"/>
      <c r="G800" s="11"/>
    </row>
    <row r="801" spans="1:7">
      <c r="A801" s="12">
        <v>43899</v>
      </c>
      <c r="B801" s="13"/>
      <c r="C801" s="14"/>
      <c r="E801" s="12">
        <v>43899</v>
      </c>
      <c r="F801" s="11"/>
      <c r="G801" s="11"/>
    </row>
    <row r="802" spans="1:7" ht="17">
      <c r="A802" s="8">
        <v>43900</v>
      </c>
      <c r="B802" s="9" t="s">
        <v>3</v>
      </c>
      <c r="C802" s="10"/>
      <c r="E802" s="8">
        <v>43900</v>
      </c>
      <c r="F802" s="11"/>
      <c r="G802" s="11"/>
    </row>
    <row r="803" spans="1:7" ht="17">
      <c r="A803" s="8">
        <v>43901</v>
      </c>
      <c r="B803" s="9" t="s">
        <v>3</v>
      </c>
      <c r="C803" s="10" t="s">
        <v>107</v>
      </c>
      <c r="E803" s="8">
        <v>43901</v>
      </c>
      <c r="F803" s="11"/>
      <c r="G803" s="11"/>
    </row>
    <row r="804" spans="1:7" ht="17">
      <c r="A804" s="8">
        <v>43902</v>
      </c>
      <c r="B804" s="9" t="s">
        <v>3</v>
      </c>
      <c r="C804" s="59"/>
      <c r="D804" s="3" t="s">
        <v>132</v>
      </c>
      <c r="E804" s="8">
        <v>43902</v>
      </c>
      <c r="F804" s="11"/>
      <c r="G804" s="11"/>
    </row>
    <row r="805" spans="1:7">
      <c r="A805" s="12">
        <v>43903</v>
      </c>
      <c r="B805" s="13"/>
      <c r="C805" s="14"/>
      <c r="E805" s="12">
        <v>43903</v>
      </c>
      <c r="F805" s="11"/>
      <c r="G805" s="11"/>
    </row>
    <row r="806" spans="1:7">
      <c r="A806" s="12">
        <v>43904</v>
      </c>
      <c r="B806" s="13"/>
      <c r="C806" s="14"/>
      <c r="E806" s="12">
        <v>43904</v>
      </c>
      <c r="F806" s="11"/>
      <c r="G806" s="11"/>
    </row>
    <row r="807" spans="1:7">
      <c r="A807" s="12">
        <v>43905</v>
      </c>
      <c r="B807" s="13"/>
      <c r="C807" s="14"/>
      <c r="E807" s="12">
        <v>43905</v>
      </c>
      <c r="F807" s="11"/>
      <c r="G807" s="11"/>
    </row>
    <row r="808" spans="1:7">
      <c r="A808" s="12">
        <v>43906</v>
      </c>
      <c r="B808" s="13"/>
      <c r="C808" s="14"/>
      <c r="E808" s="12">
        <v>43906</v>
      </c>
      <c r="F808" s="11"/>
      <c r="G808" s="11"/>
    </row>
    <row r="809" spans="1:7">
      <c r="A809" s="8">
        <v>43907</v>
      </c>
      <c r="B809" s="9"/>
      <c r="C809" s="59"/>
      <c r="E809" s="8">
        <v>43907</v>
      </c>
      <c r="F809" s="11"/>
      <c r="G809" s="11"/>
    </row>
    <row r="810" spans="1:7">
      <c r="A810" s="8">
        <v>43908</v>
      </c>
      <c r="B810" s="9"/>
      <c r="C810" s="59"/>
      <c r="E810" s="8">
        <v>43908</v>
      </c>
      <c r="F810" s="11"/>
      <c r="G810" s="11"/>
    </row>
    <row r="811" spans="1:7" ht="17">
      <c r="A811" s="8">
        <v>43909</v>
      </c>
      <c r="B811" s="9"/>
      <c r="C811" s="59"/>
      <c r="D811" s="3" t="s">
        <v>132</v>
      </c>
      <c r="E811" s="8">
        <v>43909</v>
      </c>
      <c r="F811" s="11"/>
      <c r="G811" s="11"/>
    </row>
    <row r="812" spans="1:7">
      <c r="A812" s="12">
        <v>43910</v>
      </c>
      <c r="B812" s="13"/>
      <c r="C812" s="14"/>
      <c r="E812" s="12">
        <v>43910</v>
      </c>
      <c r="F812" s="11"/>
      <c r="G812" s="11"/>
    </row>
    <row r="813" spans="1:7">
      <c r="A813" s="12">
        <v>43911</v>
      </c>
      <c r="B813" s="13"/>
      <c r="C813" s="14"/>
      <c r="E813" s="12">
        <v>43911</v>
      </c>
      <c r="F813" s="11"/>
      <c r="G813" s="11"/>
    </row>
    <row r="814" spans="1:7">
      <c r="A814" s="12">
        <v>43912</v>
      </c>
      <c r="B814" s="13"/>
      <c r="C814" s="14"/>
      <c r="E814" s="12">
        <v>43912</v>
      </c>
      <c r="F814" s="11"/>
      <c r="G814" s="11"/>
    </row>
    <row r="815" spans="1:7">
      <c r="A815" s="12">
        <v>43913</v>
      </c>
      <c r="B815" s="13"/>
      <c r="C815" s="14"/>
      <c r="E815" s="12">
        <v>43913</v>
      </c>
      <c r="F815" s="11"/>
      <c r="G815" s="11"/>
    </row>
    <row r="816" spans="1:7">
      <c r="A816" s="8">
        <v>43914</v>
      </c>
      <c r="B816" s="9"/>
      <c r="C816" s="59"/>
      <c r="E816" s="8">
        <v>43914</v>
      </c>
      <c r="F816" s="11"/>
      <c r="G816" s="11"/>
    </row>
    <row r="817" spans="1:7">
      <c r="A817" s="8">
        <v>43915</v>
      </c>
      <c r="B817" s="9"/>
      <c r="C817" s="59"/>
      <c r="E817" s="8">
        <v>43915</v>
      </c>
      <c r="F817" s="11"/>
      <c r="G817" s="11"/>
    </row>
    <row r="818" spans="1:7" ht="17">
      <c r="A818" s="8">
        <v>43916</v>
      </c>
      <c r="B818" s="9"/>
      <c r="C818" s="59"/>
      <c r="D818" s="3" t="s">
        <v>132</v>
      </c>
      <c r="E818" s="8">
        <v>43916</v>
      </c>
      <c r="F818" s="11"/>
      <c r="G818" s="11"/>
    </row>
    <row r="819" spans="1:7" ht="20">
      <c r="A819" s="12">
        <v>43917</v>
      </c>
      <c r="B819" s="13"/>
      <c r="C819" s="58" t="s">
        <v>78</v>
      </c>
      <c r="E819" s="12">
        <v>43917</v>
      </c>
      <c r="F819" s="11"/>
      <c r="G819" s="11"/>
    </row>
    <row r="820" spans="1:7">
      <c r="A820" s="12">
        <v>43918</v>
      </c>
      <c r="B820" s="13"/>
      <c r="C820" s="14" t="s">
        <v>25</v>
      </c>
      <c r="E820" s="12">
        <v>43918</v>
      </c>
      <c r="F820" s="11"/>
      <c r="G820" s="11"/>
    </row>
    <row r="821" spans="1:7">
      <c r="A821" s="12">
        <v>43919</v>
      </c>
      <c r="B821" s="13"/>
      <c r="C821" s="14"/>
      <c r="E821" s="12">
        <v>43919</v>
      </c>
      <c r="F821" s="11"/>
      <c r="G821" s="11"/>
    </row>
    <row r="822" spans="1:7">
      <c r="A822" s="12">
        <v>43920</v>
      </c>
      <c r="B822" s="13"/>
      <c r="C822" s="14"/>
      <c r="E822" s="12">
        <v>43920</v>
      </c>
      <c r="F822" s="11"/>
      <c r="G822" s="11"/>
    </row>
    <row r="823" spans="1:7">
      <c r="A823" s="8">
        <v>43921</v>
      </c>
      <c r="B823" s="9"/>
      <c r="C823" s="10" t="s">
        <v>2</v>
      </c>
      <c r="E823" s="8">
        <v>43921</v>
      </c>
      <c r="F823" s="11"/>
      <c r="G823" s="11"/>
    </row>
    <row r="824" spans="1:7" ht="17">
      <c r="A824" s="8">
        <v>43922</v>
      </c>
      <c r="B824" s="9" t="s">
        <v>14</v>
      </c>
      <c r="C824" s="10"/>
      <c r="E824" s="8">
        <v>43922</v>
      </c>
      <c r="F824" s="11"/>
      <c r="G824" s="11"/>
    </row>
    <row r="825" spans="1:7" ht="17">
      <c r="A825" s="8">
        <v>43923</v>
      </c>
      <c r="B825" s="9" t="s">
        <v>14</v>
      </c>
      <c r="C825" s="10"/>
      <c r="D825" s="3" t="s">
        <v>133</v>
      </c>
      <c r="E825" s="8">
        <v>43923</v>
      </c>
      <c r="F825" s="11"/>
      <c r="G825" s="11"/>
    </row>
    <row r="826" spans="1:7">
      <c r="A826" s="12">
        <v>43924</v>
      </c>
      <c r="B826" s="13"/>
      <c r="C826" s="14"/>
      <c r="E826" s="12">
        <v>43924</v>
      </c>
      <c r="F826" s="11"/>
      <c r="G826" s="11"/>
    </row>
    <row r="827" spans="1:7">
      <c r="A827" s="12">
        <v>43925</v>
      </c>
      <c r="B827" s="13"/>
      <c r="C827" s="14"/>
      <c r="E827" s="12">
        <v>43925</v>
      </c>
      <c r="F827" s="11"/>
      <c r="G827" s="11"/>
    </row>
    <row r="828" spans="1:7">
      <c r="A828" s="12">
        <v>43926</v>
      </c>
      <c r="B828" s="13"/>
      <c r="C828" s="14"/>
      <c r="E828" s="12">
        <v>43926</v>
      </c>
      <c r="F828" s="11"/>
      <c r="G828" s="11"/>
    </row>
    <row r="829" spans="1:7">
      <c r="A829" s="12">
        <v>43927</v>
      </c>
      <c r="B829" s="13"/>
      <c r="C829" s="14"/>
      <c r="E829" s="12">
        <v>43927</v>
      </c>
      <c r="F829" s="11"/>
      <c r="G829" s="11"/>
    </row>
    <row r="830" spans="1:7">
      <c r="A830" s="8">
        <v>43928</v>
      </c>
      <c r="B830" s="9"/>
      <c r="C830" s="59" t="s">
        <v>129</v>
      </c>
      <c r="E830" s="8">
        <v>43928</v>
      </c>
      <c r="F830" s="11"/>
      <c r="G830" s="11"/>
    </row>
    <row r="831" spans="1:7">
      <c r="A831" s="8">
        <v>43929</v>
      </c>
      <c r="B831" s="9"/>
      <c r="C831" s="59" t="s">
        <v>130</v>
      </c>
      <c r="E831" s="8">
        <v>43929</v>
      </c>
      <c r="F831" s="11"/>
      <c r="G831" s="11"/>
    </row>
    <row r="832" spans="1:7" ht="17">
      <c r="A832" s="8">
        <v>43930</v>
      </c>
      <c r="B832" s="9"/>
      <c r="C832" s="59" t="s">
        <v>131</v>
      </c>
      <c r="D832" s="3" t="s">
        <v>132</v>
      </c>
      <c r="E832" s="8">
        <v>43930</v>
      </c>
      <c r="F832" s="11"/>
      <c r="G832" s="11"/>
    </row>
    <row r="833" spans="1:7">
      <c r="A833" s="12">
        <v>43931</v>
      </c>
      <c r="B833" s="13"/>
      <c r="C833" s="14"/>
      <c r="E833" s="12">
        <v>43931</v>
      </c>
      <c r="F833" s="11"/>
      <c r="G833" s="11"/>
    </row>
    <row r="834" spans="1:7">
      <c r="A834" s="12">
        <v>43932</v>
      </c>
      <c r="B834" s="13"/>
      <c r="C834" s="14"/>
      <c r="E834" s="12">
        <v>43932</v>
      </c>
      <c r="F834" s="11"/>
      <c r="G834" s="11"/>
    </row>
    <row r="835" spans="1:7">
      <c r="A835" s="12">
        <v>43933</v>
      </c>
      <c r="B835" s="13"/>
      <c r="C835" s="14"/>
      <c r="E835" s="12">
        <v>43933</v>
      </c>
      <c r="F835" s="11"/>
      <c r="G835" s="11"/>
    </row>
    <row r="836" spans="1:7">
      <c r="A836" s="12">
        <v>43934</v>
      </c>
      <c r="B836" s="13"/>
      <c r="C836" s="14"/>
      <c r="E836" s="12">
        <v>43934</v>
      </c>
      <c r="F836" s="11"/>
      <c r="G836" s="11"/>
    </row>
    <row r="837" spans="1:7">
      <c r="A837" s="8">
        <v>43935</v>
      </c>
      <c r="B837" s="60"/>
      <c r="C837" s="59" t="s">
        <v>126</v>
      </c>
      <c r="E837" s="8">
        <v>43935</v>
      </c>
      <c r="F837" s="11"/>
      <c r="G837" s="11"/>
    </row>
    <row r="838" spans="1:7">
      <c r="A838" s="8">
        <v>43936</v>
      </c>
      <c r="B838" s="9"/>
      <c r="C838" s="59" t="s">
        <v>127</v>
      </c>
      <c r="E838" s="8">
        <v>43936</v>
      </c>
      <c r="F838" s="11"/>
      <c r="G838" s="11"/>
    </row>
    <row r="839" spans="1:7" ht="17">
      <c r="A839" s="8">
        <v>43937</v>
      </c>
      <c r="B839" s="9"/>
      <c r="C839" s="59" t="s">
        <v>128</v>
      </c>
      <c r="D839" s="3" t="s">
        <v>132</v>
      </c>
      <c r="E839" s="8">
        <v>43937</v>
      </c>
      <c r="F839" s="11"/>
      <c r="G839" s="11"/>
    </row>
    <row r="840" spans="1:7">
      <c r="A840" s="12">
        <v>43938</v>
      </c>
      <c r="B840" s="13"/>
      <c r="C840" s="14"/>
      <c r="E840" s="12">
        <v>43938</v>
      </c>
      <c r="F840" s="11"/>
      <c r="G840" s="11"/>
    </row>
    <row r="841" spans="1:7">
      <c r="A841" s="12">
        <v>43939</v>
      </c>
      <c r="B841" s="13"/>
      <c r="C841" s="14"/>
      <c r="E841" s="12">
        <v>43939</v>
      </c>
      <c r="F841" s="11"/>
      <c r="G841" s="11"/>
    </row>
    <row r="842" spans="1:7">
      <c r="A842" s="12">
        <v>43940</v>
      </c>
      <c r="B842" s="13"/>
      <c r="C842" s="14"/>
      <c r="E842" s="12">
        <v>43940</v>
      </c>
      <c r="F842" s="11"/>
      <c r="G842" s="11"/>
    </row>
    <row r="843" spans="1:7">
      <c r="A843" s="12">
        <v>43941</v>
      </c>
      <c r="B843" s="13"/>
      <c r="C843" s="14"/>
      <c r="E843" s="12">
        <v>43941</v>
      </c>
      <c r="F843" s="11"/>
      <c r="G843" s="11"/>
    </row>
    <row r="844" spans="1:7">
      <c r="A844" s="8">
        <v>43942</v>
      </c>
      <c r="B844" s="9"/>
      <c r="C844" s="59" t="s">
        <v>123</v>
      </c>
      <c r="E844" s="8">
        <v>43942</v>
      </c>
      <c r="F844" s="11"/>
      <c r="G844" s="11"/>
    </row>
    <row r="845" spans="1:7">
      <c r="A845" s="8">
        <v>43943</v>
      </c>
      <c r="B845" s="9"/>
      <c r="C845" s="59" t="s">
        <v>124</v>
      </c>
      <c r="E845" s="8">
        <v>43943</v>
      </c>
      <c r="F845" s="11"/>
      <c r="G845" s="11"/>
    </row>
    <row r="846" spans="1:7" ht="17">
      <c r="A846" s="8">
        <v>43944</v>
      </c>
      <c r="B846" s="9"/>
      <c r="C846" s="59" t="s">
        <v>125</v>
      </c>
      <c r="D846" s="3" t="s">
        <v>132</v>
      </c>
      <c r="E846" s="8">
        <v>43944</v>
      </c>
      <c r="F846" s="11"/>
      <c r="G846" s="11"/>
    </row>
    <row r="847" spans="1:7">
      <c r="A847" s="12">
        <v>43945</v>
      </c>
      <c r="B847" s="13"/>
      <c r="C847" s="14"/>
      <c r="E847" s="12">
        <v>43945</v>
      </c>
      <c r="F847" s="11"/>
      <c r="G847" s="11"/>
    </row>
    <row r="848" spans="1:7">
      <c r="A848" s="12">
        <v>43946</v>
      </c>
      <c r="B848" s="13"/>
      <c r="C848" s="14"/>
      <c r="E848" s="12">
        <v>43946</v>
      </c>
      <c r="F848" s="11"/>
      <c r="G848" s="11"/>
    </row>
    <row r="849" spans="1:7">
      <c r="A849" s="12">
        <v>43947</v>
      </c>
      <c r="B849" s="13"/>
      <c r="C849" s="14"/>
      <c r="E849" s="12">
        <v>43947</v>
      </c>
      <c r="F849" s="11"/>
      <c r="G849" s="11"/>
    </row>
    <row r="850" spans="1:7">
      <c r="A850" s="12">
        <v>43948</v>
      </c>
      <c r="B850" s="13"/>
      <c r="C850" s="14"/>
      <c r="E850" s="12">
        <v>43948</v>
      </c>
      <c r="F850" s="11"/>
      <c r="G850" s="11"/>
    </row>
    <row r="851" spans="1:7">
      <c r="A851" s="8">
        <v>43949</v>
      </c>
      <c r="B851" s="9"/>
      <c r="C851" s="59" t="s">
        <v>120</v>
      </c>
      <c r="E851" s="8">
        <v>43949</v>
      </c>
      <c r="F851" s="11"/>
      <c r="G851" s="11"/>
    </row>
    <row r="852" spans="1:7">
      <c r="A852" s="8">
        <v>43950</v>
      </c>
      <c r="B852" s="9"/>
      <c r="C852" s="59" t="s">
        <v>121</v>
      </c>
      <c r="E852" s="8">
        <v>43950</v>
      </c>
      <c r="F852" s="11"/>
      <c r="G852" s="11"/>
    </row>
    <row r="853" spans="1:7" ht="17">
      <c r="A853" s="8">
        <v>43951</v>
      </c>
      <c r="B853" s="9"/>
      <c r="C853" s="59" t="s">
        <v>122</v>
      </c>
      <c r="D853" s="3" t="s">
        <v>132</v>
      </c>
      <c r="E853" s="8">
        <v>43951</v>
      </c>
      <c r="F853" s="11"/>
      <c r="G853" s="11"/>
    </row>
    <row r="854" spans="1:7">
      <c r="A854" s="12">
        <v>43952</v>
      </c>
      <c r="B854" s="13"/>
      <c r="C854" s="14"/>
      <c r="E854" s="12">
        <v>43952</v>
      </c>
      <c r="F854" s="11"/>
      <c r="G854" s="11"/>
    </row>
    <row r="855" spans="1:7">
      <c r="A855" s="12">
        <v>43953</v>
      </c>
      <c r="B855" s="13"/>
      <c r="C855" s="14"/>
      <c r="E855" s="12">
        <v>43953</v>
      </c>
      <c r="F855" s="11"/>
      <c r="G855" s="11"/>
    </row>
    <row r="856" spans="1:7">
      <c r="A856" s="12">
        <v>43954</v>
      </c>
      <c r="B856" s="13"/>
      <c r="C856" s="14"/>
      <c r="E856" s="12">
        <v>43954</v>
      </c>
      <c r="F856" s="11"/>
      <c r="G856" s="11"/>
    </row>
    <row r="857" spans="1:7">
      <c r="A857" s="12">
        <v>43955</v>
      </c>
      <c r="B857" s="13"/>
      <c r="C857" s="14"/>
      <c r="E857" s="12">
        <v>43955</v>
      </c>
      <c r="F857" s="11"/>
      <c r="G857" s="11"/>
    </row>
    <row r="858" spans="1:7">
      <c r="A858" s="8">
        <v>43956</v>
      </c>
      <c r="B858" s="9"/>
      <c r="C858" s="10" t="s">
        <v>42</v>
      </c>
      <c r="E858" s="8">
        <v>43956</v>
      </c>
      <c r="F858" s="11"/>
      <c r="G858" s="11"/>
    </row>
    <row r="859" spans="1:7" ht="17">
      <c r="A859" s="8">
        <v>43957</v>
      </c>
      <c r="B859" s="9" t="s">
        <v>14</v>
      </c>
      <c r="C859" s="10"/>
      <c r="E859" s="8">
        <v>43957</v>
      </c>
      <c r="F859" s="11"/>
      <c r="G859" s="11"/>
    </row>
    <row r="860" spans="1:7" ht="17">
      <c r="A860" s="8">
        <v>43958</v>
      </c>
      <c r="B860" s="9" t="s">
        <v>14</v>
      </c>
      <c r="C860" s="10"/>
      <c r="E860" s="8">
        <v>43958</v>
      </c>
      <c r="F860" s="11"/>
      <c r="G860" s="11"/>
    </row>
    <row r="861" spans="1:7">
      <c r="A861" s="12">
        <v>43959</v>
      </c>
      <c r="B861" s="13"/>
      <c r="C861" s="14"/>
      <c r="E861" s="12">
        <v>43959</v>
      </c>
      <c r="F861" s="11"/>
      <c r="G861" s="11"/>
    </row>
    <row r="862" spans="1:7">
      <c r="A862" s="12">
        <v>43960</v>
      </c>
      <c r="B862" s="13"/>
      <c r="C862" s="14"/>
      <c r="E862" s="12">
        <v>43960</v>
      </c>
      <c r="F862" s="11"/>
      <c r="G862" s="11"/>
    </row>
    <row r="863" spans="1:7">
      <c r="A863" s="12">
        <v>43961</v>
      </c>
      <c r="B863" s="13"/>
      <c r="C863" s="14"/>
      <c r="E863" s="12">
        <v>43961</v>
      </c>
      <c r="F863" s="11"/>
      <c r="G863" s="11"/>
    </row>
    <row r="864" spans="1:7">
      <c r="A864" s="12">
        <v>43962</v>
      </c>
      <c r="B864" s="13"/>
      <c r="C864" s="14"/>
      <c r="E864" s="12">
        <v>43962</v>
      </c>
      <c r="F864" s="11"/>
      <c r="G864" s="11"/>
    </row>
    <row r="865" spans="1:7">
      <c r="A865" s="8">
        <v>43963</v>
      </c>
      <c r="B865" s="9"/>
      <c r="C865" s="59" t="s">
        <v>117</v>
      </c>
      <c r="E865" s="8">
        <v>43963</v>
      </c>
      <c r="F865" s="11"/>
      <c r="G865" s="11"/>
    </row>
    <row r="866" spans="1:7">
      <c r="A866" s="8">
        <v>43964</v>
      </c>
      <c r="B866" s="9"/>
      <c r="C866" s="59" t="s">
        <v>118</v>
      </c>
      <c r="E866" s="8">
        <v>43964</v>
      </c>
      <c r="F866" s="11"/>
      <c r="G866" s="11"/>
    </row>
    <row r="867" spans="1:7" ht="17">
      <c r="A867" s="8">
        <v>43965</v>
      </c>
      <c r="B867" s="9"/>
      <c r="C867" s="59" t="s">
        <v>119</v>
      </c>
      <c r="D867" s="3" t="s">
        <v>132</v>
      </c>
      <c r="E867" s="8">
        <v>43965</v>
      </c>
      <c r="F867" s="11"/>
      <c r="G867" s="11"/>
    </row>
    <row r="868" spans="1:7">
      <c r="A868" s="12">
        <v>43966</v>
      </c>
      <c r="B868" s="13"/>
      <c r="C868" s="14"/>
      <c r="E868" s="12">
        <v>43966</v>
      </c>
      <c r="F868" s="11"/>
      <c r="G868" s="11"/>
    </row>
    <row r="869" spans="1:7">
      <c r="A869" s="12">
        <v>43967</v>
      </c>
      <c r="B869" s="13"/>
      <c r="C869" s="14"/>
      <c r="E869" s="12">
        <v>43967</v>
      </c>
      <c r="F869" s="11"/>
      <c r="G869" s="11"/>
    </row>
    <row r="870" spans="1:7">
      <c r="A870" s="12">
        <v>43968</v>
      </c>
      <c r="B870" s="13"/>
      <c r="C870" s="14"/>
      <c r="E870" s="12">
        <v>43968</v>
      </c>
      <c r="F870" s="11"/>
      <c r="G870" s="11"/>
    </row>
    <row r="871" spans="1:7">
      <c r="A871" s="12">
        <v>43969</v>
      </c>
      <c r="B871" s="13"/>
      <c r="C871" s="14"/>
      <c r="E871" s="12">
        <v>43969</v>
      </c>
      <c r="F871" s="11"/>
      <c r="G871" s="11"/>
    </row>
    <row r="872" spans="1:7">
      <c r="A872" s="8">
        <v>43970</v>
      </c>
      <c r="B872" s="9"/>
      <c r="C872" s="59" t="s">
        <v>114</v>
      </c>
      <c r="E872" s="8">
        <v>43970</v>
      </c>
      <c r="F872" s="11"/>
      <c r="G872" s="11"/>
    </row>
    <row r="873" spans="1:7">
      <c r="A873" s="8">
        <v>43971</v>
      </c>
      <c r="B873" s="9"/>
      <c r="C873" s="59" t="s">
        <v>115</v>
      </c>
      <c r="E873" s="8">
        <v>43971</v>
      </c>
      <c r="F873" s="11"/>
      <c r="G873" s="11"/>
    </row>
    <row r="874" spans="1:7" ht="17">
      <c r="A874" s="8">
        <v>43972</v>
      </c>
      <c r="B874" s="9"/>
      <c r="C874" s="59" t="s">
        <v>116</v>
      </c>
      <c r="D874" s="3" t="s">
        <v>132</v>
      </c>
      <c r="E874" s="8">
        <v>43972</v>
      </c>
      <c r="F874" s="11"/>
      <c r="G874" s="11"/>
    </row>
    <row r="875" spans="1:7">
      <c r="A875" s="12">
        <v>43973</v>
      </c>
      <c r="B875" s="13"/>
      <c r="C875" s="14"/>
      <c r="E875" s="12">
        <v>43973</v>
      </c>
      <c r="F875" s="11"/>
      <c r="G875" s="11"/>
    </row>
    <row r="876" spans="1:7">
      <c r="A876" s="12">
        <v>43974</v>
      </c>
      <c r="B876" s="13"/>
      <c r="C876" s="14"/>
      <c r="E876" s="12">
        <v>43974</v>
      </c>
      <c r="F876" s="11"/>
      <c r="G876" s="11"/>
    </row>
    <row r="877" spans="1:7">
      <c r="A877" s="12">
        <v>43975</v>
      </c>
      <c r="B877" s="13"/>
      <c r="C877" s="14"/>
      <c r="E877" s="12">
        <v>43975</v>
      </c>
      <c r="F877" s="11"/>
      <c r="G877" s="11"/>
    </row>
    <row r="878" spans="1:7">
      <c r="A878" s="12">
        <v>43976</v>
      </c>
      <c r="B878" s="13"/>
      <c r="C878" s="14"/>
      <c r="E878" s="12">
        <v>43976</v>
      </c>
      <c r="F878" s="11"/>
      <c r="G878" s="11"/>
    </row>
    <row r="879" spans="1:7">
      <c r="A879" s="8">
        <v>43977</v>
      </c>
      <c r="B879" s="9"/>
      <c r="C879" s="10" t="s">
        <v>43</v>
      </c>
      <c r="E879" s="8">
        <v>43977</v>
      </c>
      <c r="F879" s="11"/>
      <c r="G879" s="11"/>
    </row>
    <row r="880" spans="1:7" ht="17">
      <c r="A880" s="8">
        <v>43978</v>
      </c>
      <c r="B880" s="9" t="s">
        <v>14</v>
      </c>
      <c r="C880" s="10"/>
      <c r="E880" s="8">
        <v>43978</v>
      </c>
      <c r="F880" s="11"/>
      <c r="G880" s="11"/>
    </row>
    <row r="881" spans="1:7" ht="17">
      <c r="A881" s="8">
        <v>43979</v>
      </c>
      <c r="B881" s="9" t="s">
        <v>14</v>
      </c>
      <c r="C881" s="10"/>
      <c r="E881" s="8">
        <v>43979</v>
      </c>
      <c r="F881" s="11"/>
      <c r="G881" s="11"/>
    </row>
    <row r="882" spans="1:7">
      <c r="A882" s="12">
        <v>43980</v>
      </c>
      <c r="B882" s="13"/>
      <c r="C882" s="14"/>
      <c r="E882" s="12">
        <v>43980</v>
      </c>
      <c r="F882" s="11"/>
      <c r="G882" s="11"/>
    </row>
    <row r="883" spans="1:7">
      <c r="A883" s="12">
        <v>43981</v>
      </c>
      <c r="B883" s="13"/>
      <c r="C883" s="14"/>
      <c r="E883" s="12">
        <v>43981</v>
      </c>
      <c r="F883" s="11"/>
      <c r="G883" s="11"/>
    </row>
    <row r="884" spans="1:7">
      <c r="A884" s="12">
        <v>43982</v>
      </c>
      <c r="B884" s="13"/>
      <c r="C884" s="14"/>
      <c r="E884" s="12">
        <v>43982</v>
      </c>
      <c r="F884" s="11"/>
      <c r="G884" s="11"/>
    </row>
    <row r="885" spans="1:7">
      <c r="A885" s="12">
        <v>43983</v>
      </c>
      <c r="B885" s="13"/>
      <c r="C885" s="14"/>
      <c r="E885" s="12">
        <v>43983</v>
      </c>
      <c r="F885" s="11"/>
      <c r="G885" s="11"/>
    </row>
    <row r="886" spans="1:7">
      <c r="A886" s="8">
        <v>43984</v>
      </c>
      <c r="B886" s="9"/>
      <c r="C886" s="59" t="s">
        <v>112</v>
      </c>
      <c r="E886" s="8">
        <v>43984</v>
      </c>
      <c r="F886" s="11"/>
      <c r="G886" s="11"/>
    </row>
    <row r="887" spans="1:7">
      <c r="A887" s="8">
        <v>43985</v>
      </c>
      <c r="B887" s="9"/>
      <c r="C887" s="59" t="s">
        <v>113</v>
      </c>
      <c r="E887" s="8">
        <v>43985</v>
      </c>
      <c r="F887" s="11"/>
      <c r="G887" s="11"/>
    </row>
    <row r="888" spans="1:7" ht="17">
      <c r="A888" s="8">
        <v>43986</v>
      </c>
      <c r="B888" s="9"/>
      <c r="C888" s="59" t="s">
        <v>111</v>
      </c>
      <c r="D888" s="3" t="s">
        <v>132</v>
      </c>
      <c r="E888" s="8">
        <v>43986</v>
      </c>
      <c r="F888" s="11"/>
      <c r="G888" s="11"/>
    </row>
    <row r="889" spans="1:7">
      <c r="A889" s="12">
        <v>43987</v>
      </c>
      <c r="B889" s="13"/>
      <c r="C889" s="14"/>
      <c r="E889" s="12">
        <v>43987</v>
      </c>
      <c r="F889" s="11"/>
      <c r="G889" s="11"/>
    </row>
    <row r="890" spans="1:7">
      <c r="A890" s="12">
        <v>43988</v>
      </c>
      <c r="B890" s="13"/>
      <c r="C890" s="14"/>
      <c r="E890" s="12">
        <v>43988</v>
      </c>
      <c r="F890" s="11"/>
      <c r="G890" s="11"/>
    </row>
    <row r="891" spans="1:7">
      <c r="A891" s="12">
        <v>43989</v>
      </c>
      <c r="B891" s="13"/>
      <c r="C891" s="14"/>
      <c r="E891" s="12">
        <v>43989</v>
      </c>
      <c r="F891" s="11"/>
      <c r="G891" s="11"/>
    </row>
    <row r="892" spans="1:7">
      <c r="A892" s="12">
        <v>43990</v>
      </c>
      <c r="B892" s="13"/>
      <c r="C892" s="14"/>
      <c r="E892" s="12">
        <v>43990</v>
      </c>
      <c r="F892" s="11"/>
      <c r="G892" s="11"/>
    </row>
    <row r="893" spans="1:7">
      <c r="A893" s="8">
        <v>43991</v>
      </c>
      <c r="B893" s="9"/>
      <c r="C893" s="59" t="s">
        <v>110</v>
      </c>
      <c r="E893" s="8">
        <v>43991</v>
      </c>
      <c r="F893" s="11"/>
      <c r="G893" s="11"/>
    </row>
    <row r="894" spans="1:7">
      <c r="A894" s="8">
        <v>43992</v>
      </c>
      <c r="B894" s="9"/>
      <c r="C894" s="59" t="s">
        <v>109</v>
      </c>
      <c r="E894" s="8">
        <v>43992</v>
      </c>
      <c r="F894" s="11"/>
      <c r="G894" s="11"/>
    </row>
    <row r="895" spans="1:7" ht="17">
      <c r="A895" s="8">
        <v>43993</v>
      </c>
      <c r="B895" s="9"/>
      <c r="C895" s="59" t="s">
        <v>108</v>
      </c>
      <c r="D895" s="3" t="s">
        <v>132</v>
      </c>
      <c r="E895" s="8">
        <v>43993</v>
      </c>
      <c r="F895" s="11"/>
      <c r="G895" s="11"/>
    </row>
    <row r="896" spans="1:7">
      <c r="A896" s="12">
        <v>43994</v>
      </c>
      <c r="B896" s="13"/>
      <c r="C896" s="14"/>
      <c r="E896" s="12">
        <v>43994</v>
      </c>
      <c r="F896" s="11"/>
      <c r="G896" s="11"/>
    </row>
    <row r="897" spans="1:7">
      <c r="A897" s="12">
        <v>43995</v>
      </c>
      <c r="B897" s="13"/>
      <c r="C897" s="14"/>
      <c r="E897" s="12">
        <v>43995</v>
      </c>
      <c r="F897" s="11"/>
      <c r="G897" s="11"/>
    </row>
    <row r="898" spans="1:7">
      <c r="A898" s="12">
        <v>43996</v>
      </c>
      <c r="B898" s="13"/>
      <c r="C898" s="14"/>
      <c r="E898" s="12">
        <v>43996</v>
      </c>
      <c r="F898" s="11"/>
      <c r="G898" s="11"/>
    </row>
    <row r="899" spans="1:7">
      <c r="A899" s="12">
        <v>43997</v>
      </c>
      <c r="B899" s="13"/>
      <c r="C899" s="14"/>
      <c r="E899" s="12">
        <v>43997</v>
      </c>
      <c r="F899" s="11"/>
      <c r="G899" s="11"/>
    </row>
    <row r="900" spans="1:7" ht="17">
      <c r="A900" s="8">
        <v>43998</v>
      </c>
      <c r="B900" s="9" t="s">
        <v>134</v>
      </c>
      <c r="C900" s="10"/>
      <c r="E900" s="8">
        <v>43998</v>
      </c>
      <c r="F900" s="11"/>
      <c r="G900" s="11"/>
    </row>
    <row r="901" spans="1:7" ht="17">
      <c r="A901" s="8">
        <v>43999</v>
      </c>
      <c r="B901" s="9" t="s">
        <v>134</v>
      </c>
      <c r="C901" s="10"/>
      <c r="E901" s="8">
        <v>43999</v>
      </c>
      <c r="F901" s="11"/>
      <c r="G901" s="11"/>
    </row>
    <row r="902" spans="1:7" ht="17">
      <c r="A902" s="8">
        <v>44000</v>
      </c>
      <c r="B902" s="9" t="s">
        <v>134</v>
      </c>
      <c r="C902" s="10"/>
      <c r="E902" s="8">
        <v>44000</v>
      </c>
      <c r="F902" s="11"/>
      <c r="G902" s="11"/>
    </row>
    <row r="903" spans="1:7">
      <c r="A903" s="12">
        <v>44001</v>
      </c>
      <c r="B903" s="13"/>
      <c r="C903" s="14"/>
      <c r="E903" s="12">
        <v>44001</v>
      </c>
      <c r="F903" s="11"/>
      <c r="G903" s="11"/>
    </row>
    <row r="904" spans="1:7">
      <c r="A904" s="12">
        <v>44002</v>
      </c>
      <c r="B904" s="13"/>
      <c r="C904" s="14"/>
      <c r="E904" s="12">
        <v>44002</v>
      </c>
      <c r="F904" s="11"/>
      <c r="G904" s="11"/>
    </row>
    <row r="905" spans="1:7">
      <c r="A905" s="12">
        <v>44003</v>
      </c>
      <c r="B905" s="13"/>
      <c r="C905" s="14"/>
      <c r="E905" s="12">
        <v>44003</v>
      </c>
      <c r="F905" s="11"/>
      <c r="G905" s="11"/>
    </row>
    <row r="906" spans="1:7">
      <c r="A906" s="12">
        <v>44004</v>
      </c>
      <c r="B906" s="13"/>
      <c r="C906" s="14"/>
      <c r="E906" s="12">
        <v>44004</v>
      </c>
      <c r="F906" s="11"/>
      <c r="G906" s="11"/>
    </row>
    <row r="907" spans="1:7" ht="17">
      <c r="A907" s="8">
        <v>44005</v>
      </c>
      <c r="B907" s="9" t="s">
        <v>134</v>
      </c>
      <c r="C907" s="10"/>
      <c r="E907" s="8">
        <v>44005</v>
      </c>
      <c r="F907" s="11"/>
      <c r="G907" s="11"/>
    </row>
    <row r="908" spans="1:7" ht="17">
      <c r="A908" s="8">
        <v>44006</v>
      </c>
      <c r="B908" s="9" t="s">
        <v>134</v>
      </c>
      <c r="C908" s="10"/>
      <c r="E908" s="8">
        <v>44006</v>
      </c>
      <c r="F908" s="11"/>
      <c r="G908" s="11"/>
    </row>
    <row r="909" spans="1:7" ht="17">
      <c r="A909" s="53">
        <v>44007</v>
      </c>
      <c r="B909" s="25" t="s">
        <v>134</v>
      </c>
      <c r="C909" s="54"/>
      <c r="E909" s="53">
        <v>44007</v>
      </c>
      <c r="F909" s="20"/>
      <c r="G909" s="20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:B608 B592:B594 B599:B601 B585:B587 B613:B614 B620:B622 B627:B629 B634:B636 B641:B643 B648:B650 B655:B657 B662:B664 B669:B671 B676:B678 B683:B685 B690:B692 B697:B699 B704:B706 B711:B713 B718:B720 B746:B748 B753:B755 B760:B762 B767:B769 B774:B776 B781:B783 B788:B790 B795:B797 B727 B732:B734 B739:B741 B802:B804 B824:B825 B859:B860 B880:B881" xr:uid="{00000000-0002-0000-0300-000000000000}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K29"/>
  <sheetViews>
    <sheetView zoomScaleNormal="85" workbookViewId="0">
      <selection activeCell="F29" sqref="F29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7.1640625" style="4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0" width="9" style="4"/>
    <col min="11" max="11" width="10.6640625" style="4" customWidth="1"/>
    <col min="12" max="13" width="9" style="4"/>
    <col min="14" max="14" width="9" style="4" customWidth="1"/>
    <col min="15" max="16384" width="9" style="4"/>
  </cols>
  <sheetData>
    <row r="1" spans="2:11">
      <c r="F1" s="23"/>
      <c r="G1" s="23" t="s">
        <v>28</v>
      </c>
      <c r="H1" s="23" t="s">
        <v>29</v>
      </c>
    </row>
    <row r="2" spans="2:11">
      <c r="E2" s="33"/>
      <c r="F2" s="23" t="s">
        <v>27</v>
      </c>
      <c r="G2" s="31">
        <f>H2/7.4</f>
        <v>20.255405405405401</v>
      </c>
      <c r="H2" s="4">
        <v>149.88999999999999</v>
      </c>
      <c r="J2" s="4">
        <v>149.88999999999999</v>
      </c>
      <c r="K2" s="32">
        <f>J2/7.4</f>
        <v>20.255405405405401</v>
      </c>
    </row>
    <row r="3" spans="2:11">
      <c r="E3" s="33"/>
      <c r="F3" s="23" t="s">
        <v>26</v>
      </c>
      <c r="G3" s="31">
        <f>H3/7.4</f>
        <v>0</v>
      </c>
    </row>
    <row r="4" spans="2:11">
      <c r="B4" s="23"/>
      <c r="C4" s="23"/>
      <c r="D4" s="23"/>
      <c r="E4" s="33"/>
      <c r="F4" s="23"/>
      <c r="G4" s="31"/>
    </row>
    <row r="5" spans="2:11">
      <c r="D5" s="23"/>
      <c r="E5" s="33"/>
      <c r="F5" s="23" t="s">
        <v>30</v>
      </c>
      <c r="G5" s="31">
        <f>SUM(G2:G4)</f>
        <v>20.255405405405401</v>
      </c>
      <c r="H5" s="4">
        <f>G5*7.4</f>
        <v>149.88999999999999</v>
      </c>
    </row>
    <row r="6" spans="2:11">
      <c r="D6" s="23"/>
      <c r="E6" s="33"/>
      <c r="G6" s="32"/>
    </row>
    <row r="7" spans="2:11">
      <c r="D7" s="23"/>
      <c r="E7" s="33"/>
    </row>
    <row r="8" spans="2:11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11">
      <c r="D9" s="23"/>
      <c r="E9" s="33"/>
    </row>
    <row r="10" spans="2:11" ht="16">
      <c r="B10" s="26"/>
      <c r="C10" s="26"/>
      <c r="D10" s="6"/>
      <c r="E10" s="24"/>
      <c r="F10" s="6"/>
    </row>
    <row r="11" spans="2:11" ht="16">
      <c r="B11" s="27"/>
      <c r="C11" s="27"/>
      <c r="D11" s="6"/>
      <c r="E11" s="43">
        <f>G5</f>
        <v>20.255405405405401</v>
      </c>
      <c r="F11" s="41">
        <f>E11*7.4</f>
        <v>149.88999999999999</v>
      </c>
      <c r="G11" s="32"/>
    </row>
    <row r="12" spans="2:11" ht="16">
      <c r="B12" s="30">
        <v>43586</v>
      </c>
      <c r="C12" s="27"/>
      <c r="D12" s="6">
        <v>1</v>
      </c>
      <c r="E12" s="42">
        <f t="shared" ref="E12" si="0">E11-D12</f>
        <v>19.255405405405401</v>
      </c>
      <c r="F12" s="42">
        <f>IF(E12=E11,"-", E12*7.4)</f>
        <v>142.48999999999998</v>
      </c>
      <c r="H12" s="29"/>
    </row>
    <row r="13" spans="2:11" ht="16">
      <c r="B13" s="30">
        <v>43587</v>
      </c>
      <c r="C13" s="27"/>
      <c r="D13" s="6">
        <v>1</v>
      </c>
      <c r="E13" s="42">
        <f t="shared" ref="E13:E14" si="1">E12-D13</f>
        <v>18.255405405405401</v>
      </c>
      <c r="F13" s="42">
        <f t="shared" ref="F13:F14" si="2">IF(E13=E12,"-", E13*7.4)</f>
        <v>135.08999999999997</v>
      </c>
    </row>
    <row r="14" spans="2:11" ht="16">
      <c r="B14" s="30">
        <v>43593</v>
      </c>
      <c r="C14" s="27"/>
      <c r="D14" s="6">
        <v>0.5</v>
      </c>
      <c r="E14" s="42">
        <f t="shared" si="1"/>
        <v>17.755405405405401</v>
      </c>
      <c r="F14" s="42">
        <f t="shared" si="2"/>
        <v>131.38999999999999</v>
      </c>
    </row>
    <row r="15" spans="2:11" ht="16">
      <c r="B15" s="30">
        <v>43594</v>
      </c>
      <c r="C15" s="27"/>
      <c r="D15" s="6">
        <v>1</v>
      </c>
      <c r="E15" s="42">
        <f>E14-D15</f>
        <v>16.755405405405401</v>
      </c>
      <c r="F15" s="42">
        <f>IF(E15=E14,"-", E15*7.4)</f>
        <v>123.98999999999998</v>
      </c>
    </row>
    <row r="16" spans="2:11" ht="16">
      <c r="B16" s="30">
        <v>43599</v>
      </c>
      <c r="C16" s="27"/>
      <c r="D16" s="6">
        <v>1</v>
      </c>
      <c r="E16" s="42">
        <f>E15-D16</f>
        <v>15.755405405405401</v>
      </c>
      <c r="F16" s="42">
        <f>IF(E16=E15,"-", E16*7.4)</f>
        <v>116.58999999999997</v>
      </c>
    </row>
    <row r="17" spans="2:6" ht="16">
      <c r="B17" s="30">
        <v>43600</v>
      </c>
      <c r="C17" s="27"/>
      <c r="D17" s="6">
        <v>1</v>
      </c>
      <c r="E17" s="42">
        <f>E16-D17</f>
        <v>14.755405405405401</v>
      </c>
      <c r="F17" s="42">
        <f>IF(E17=E16,"-", E17*7.4)</f>
        <v>109.18999999999997</v>
      </c>
    </row>
    <row r="18" spans="2:6" ht="16">
      <c r="B18" s="30">
        <v>43601</v>
      </c>
      <c r="C18" s="27"/>
      <c r="D18" s="6">
        <v>1</v>
      </c>
      <c r="E18" s="42">
        <f t="shared" ref="E18" si="3">E17-D18</f>
        <v>13.755405405405401</v>
      </c>
      <c r="F18" s="42">
        <f>IF(E18=E17,"-", E18*7.4)</f>
        <v>101.78999999999998</v>
      </c>
    </row>
    <row r="19" spans="2:6" ht="16">
      <c r="B19" s="52">
        <v>43683</v>
      </c>
      <c r="C19" s="27"/>
      <c r="D19" s="6">
        <v>1</v>
      </c>
      <c r="E19" s="42">
        <f t="shared" ref="E19:E23" si="4">E18-D19</f>
        <v>12.755405405405401</v>
      </c>
      <c r="F19" s="42">
        <f t="shared" ref="F19:F23" si="5">IF(E19=E18,"-", E19*7.4)</f>
        <v>94.389999999999972</v>
      </c>
    </row>
    <row r="20" spans="2:6" ht="16">
      <c r="B20" s="35">
        <v>43713</v>
      </c>
      <c r="C20" s="6"/>
      <c r="D20" s="6">
        <v>1</v>
      </c>
      <c r="E20" s="42">
        <f t="shared" si="4"/>
        <v>11.755405405405401</v>
      </c>
      <c r="F20" s="42">
        <f t="shared" si="5"/>
        <v>86.989999999999981</v>
      </c>
    </row>
    <row r="21" spans="2:6" ht="16">
      <c r="B21" s="35">
        <v>43718</v>
      </c>
      <c r="C21" s="6"/>
      <c r="D21" s="6">
        <v>1</v>
      </c>
      <c r="E21" s="42">
        <f t="shared" si="4"/>
        <v>10.755405405405401</v>
      </c>
      <c r="F21" s="42">
        <f t="shared" si="5"/>
        <v>79.589999999999975</v>
      </c>
    </row>
    <row r="22" spans="2:6" ht="16">
      <c r="B22" s="35">
        <v>43719</v>
      </c>
      <c r="C22" s="6"/>
      <c r="D22" s="6">
        <v>1</v>
      </c>
      <c r="E22" s="42">
        <f t="shared" si="4"/>
        <v>9.7554054054054014</v>
      </c>
      <c r="F22" s="42">
        <f t="shared" si="5"/>
        <v>72.189999999999969</v>
      </c>
    </row>
    <row r="23" spans="2:6" ht="16">
      <c r="B23" s="35">
        <v>43720</v>
      </c>
      <c r="C23" s="6"/>
      <c r="D23" s="6">
        <v>1</v>
      </c>
      <c r="E23" s="42">
        <f t="shared" si="4"/>
        <v>8.7554054054054014</v>
      </c>
      <c r="F23" s="42">
        <f t="shared" si="5"/>
        <v>64.789999999999978</v>
      </c>
    </row>
    <row r="24" spans="2:6" ht="16">
      <c r="B24" s="57">
        <v>43825</v>
      </c>
      <c r="C24" s="27"/>
      <c r="D24" s="6">
        <v>1</v>
      </c>
      <c r="E24" s="42">
        <f t="shared" ref="E24:E29" si="6">E23-D24</f>
        <v>7.7554054054054014</v>
      </c>
      <c r="F24" s="42">
        <f t="shared" ref="F24:F29" si="7">IF(E24=E23,"-", E24*7.4)</f>
        <v>57.389999999999972</v>
      </c>
    </row>
    <row r="25" spans="2:6" ht="16">
      <c r="B25" s="36">
        <v>43831</v>
      </c>
      <c r="C25" s="27"/>
      <c r="D25" s="6">
        <v>1</v>
      </c>
      <c r="E25" s="42">
        <f t="shared" si="6"/>
        <v>6.7554054054054014</v>
      </c>
      <c r="F25" s="42">
        <f t="shared" si="7"/>
        <v>49.989999999999974</v>
      </c>
    </row>
    <row r="26" spans="2:6" ht="16">
      <c r="B26" s="36">
        <v>43832</v>
      </c>
      <c r="C26" s="27"/>
      <c r="D26" s="6">
        <v>1</v>
      </c>
      <c r="E26" s="42">
        <f t="shared" si="6"/>
        <v>5.7554054054054014</v>
      </c>
      <c r="F26" s="42">
        <f t="shared" si="7"/>
        <v>42.589999999999975</v>
      </c>
    </row>
    <row r="27" spans="2:6" ht="16">
      <c r="B27" s="36">
        <v>43837</v>
      </c>
      <c r="C27" s="27"/>
      <c r="D27" s="6">
        <v>1</v>
      </c>
      <c r="E27" s="42">
        <f t="shared" si="6"/>
        <v>4.7554054054054014</v>
      </c>
      <c r="F27" s="42">
        <f t="shared" si="7"/>
        <v>35.189999999999969</v>
      </c>
    </row>
    <row r="28" spans="2:6" ht="16">
      <c r="B28" s="36">
        <v>43838</v>
      </c>
      <c r="C28" s="27"/>
      <c r="D28" s="6">
        <v>1</v>
      </c>
      <c r="E28" s="42">
        <f t="shared" si="6"/>
        <v>3.7554054054054014</v>
      </c>
      <c r="F28" s="42">
        <f t="shared" si="7"/>
        <v>27.789999999999971</v>
      </c>
    </row>
    <row r="29" spans="2:6" ht="16">
      <c r="B29" s="36">
        <v>43839</v>
      </c>
      <c r="C29" s="27"/>
      <c r="D29" s="6">
        <v>1</v>
      </c>
      <c r="E29" s="42">
        <f t="shared" si="6"/>
        <v>2.7554054054054014</v>
      </c>
      <c r="F29" s="42">
        <f t="shared" si="7"/>
        <v>20.389999999999972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DDL</vt:lpstr>
      <vt:lpstr>WorkingDay</vt:lpstr>
      <vt:lpstr>Annual Leave 2021 to 2022</vt:lpstr>
      <vt:lpstr>Diary 2020 to 2023</vt:lpstr>
      <vt:lpstr>Annual Leave 2022 to 2023</vt:lpstr>
      <vt:lpstr>'Annual Leave 2021 to 2022'!DaysColumn</vt:lpstr>
      <vt:lpstr>'Annual Leave 2022 to 2023'!DaysColumn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Michael Williams</cp:lastModifiedBy>
  <cp:lastPrinted>2011-02-09T16:10:10Z</cp:lastPrinted>
  <dcterms:created xsi:type="dcterms:W3CDTF">2009-01-27T11:47:53Z</dcterms:created>
  <dcterms:modified xsi:type="dcterms:W3CDTF">2024-03-13T10:04:09Z</dcterms:modified>
</cp:coreProperties>
</file>