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-admin\Documents\VMShared\Ubuntu\windows\"/>
    </mc:Choice>
  </mc:AlternateContent>
  <bookViews>
    <workbookView xWindow="0" yWindow="0" windowWidth="28800" windowHeight="12330"/>
  </bookViews>
  <sheets>
    <sheet name="Order" sheetId="2" r:id="rId1"/>
    <sheet name="DummyData" sheetId="7" state="hidden" r:id="rId2"/>
    <sheet name="FoodItem" sheetId="3" r:id="rId3"/>
    <sheet name="Names" sheetId="6" r:id="rId4"/>
  </sheets>
  <definedNames>
    <definedName name="names">Names!$A$1:$A$12</definedName>
    <definedName name="rngFoodItem">tblFoodItem[Food]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2" l="1"/>
  <c r="B5" i="2" l="1"/>
  <c r="B6" i="2"/>
  <c r="B7" i="2"/>
  <c r="B8" i="2"/>
  <c r="B9" i="2"/>
  <c r="B10" i="2"/>
  <c r="B11" i="2"/>
  <c r="B12" i="2"/>
  <c r="B13" i="2"/>
  <c r="I19" i="7" l="1"/>
  <c r="I20" i="7"/>
  <c r="I21" i="7"/>
  <c r="I22" i="7"/>
  <c r="I23" i="7"/>
  <c r="I24" i="7"/>
  <c r="I25" i="7"/>
  <c r="I26" i="7"/>
  <c r="I27" i="7"/>
  <c r="I28" i="7"/>
  <c r="I8" i="7"/>
  <c r="I9" i="7"/>
  <c r="I10" i="7"/>
  <c r="I11" i="7"/>
  <c r="I12" i="7"/>
  <c r="I13" i="7"/>
  <c r="I14" i="7"/>
  <c r="I15" i="7"/>
  <c r="I16" i="7"/>
  <c r="I7" i="7"/>
  <c r="N11" i="2" l="1"/>
  <c r="N12" i="2"/>
  <c r="N13" i="2"/>
  <c r="B17" i="2"/>
  <c r="B18" i="2"/>
  <c r="B19" i="2"/>
  <c r="B20" i="2"/>
  <c r="B21" i="2"/>
  <c r="B22" i="2"/>
  <c r="B23" i="2"/>
  <c r="B24" i="2"/>
  <c r="B4" i="2"/>
  <c r="N5" i="2" l="1"/>
  <c r="N6" i="2"/>
  <c r="N7" i="2"/>
  <c r="N8" i="2"/>
  <c r="N9" i="2"/>
  <c r="N10" i="2"/>
  <c r="N4" i="2"/>
  <c r="N17" i="2" l="1"/>
  <c r="O3" i="2"/>
</calcChain>
</file>

<file path=xl/sharedStrings.xml><?xml version="1.0" encoding="utf-8"?>
<sst xmlns="http://schemas.openxmlformats.org/spreadsheetml/2006/main" count="172" uniqueCount="57">
  <si>
    <t>Chips</t>
  </si>
  <si>
    <t>Special Curry</t>
  </si>
  <si>
    <t>Celia</t>
  </si>
  <si>
    <t>Egg Fried Rice</t>
  </si>
  <si>
    <t>Mini Spring Rolls</t>
  </si>
  <si>
    <t>Angela</t>
  </si>
  <si>
    <t>Mike</t>
  </si>
  <si>
    <t>Chow Mein</t>
  </si>
  <si>
    <t>Angela &amp; Mike</t>
  </si>
  <si>
    <t>Name</t>
  </si>
  <si>
    <t>Meal</t>
  </si>
  <si>
    <t>Cost</t>
  </si>
  <si>
    <t>Food</t>
  </si>
  <si>
    <t>Price</t>
  </si>
  <si>
    <t>Total Cost Per Line</t>
  </si>
  <si>
    <t>Curry Sauce</t>
  </si>
  <si>
    <t>King Prawn Curry</t>
  </si>
  <si>
    <t>Special Fried Rice</t>
  </si>
  <si>
    <t>King Prawn Fried Rice</t>
  </si>
  <si>
    <t>Special Chow Mein</t>
  </si>
  <si>
    <t>Special Chop Suey</t>
  </si>
  <si>
    <t>Chicken Curry</t>
  </si>
  <si>
    <t>King Prawn Chow Mein</t>
  </si>
  <si>
    <t>Plain Chow Mein</t>
  </si>
  <si>
    <t>Chicken Chow Mein</t>
  </si>
  <si>
    <t>Amount</t>
  </si>
  <si>
    <t>Angela &amp; Celia</t>
  </si>
  <si>
    <t>Angela &amp; Charles</t>
  </si>
  <si>
    <t>Celia &amp; Charles</t>
  </si>
  <si>
    <t>Celia &amp; Mike</t>
  </si>
  <si>
    <t>Charles</t>
  </si>
  <si>
    <t>Charles &amp; Mike</t>
  </si>
  <si>
    <t>Angela, Mike &amp; Celia</t>
  </si>
  <si>
    <t>Range("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</si>
  <si>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</si>
  <si>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</si>
  <si>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</si>
  <si>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</si>
  <si>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</si>
  <si>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</si>
  <si>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</si>
  <si>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</si>
  <si>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</si>
  <si>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</si>
  <si>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").Value = "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</si>
  <si>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</si>
  <si>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</si>
  <si>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</si>
  <si>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</si>
  <si>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</si>
  <si>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</si>
  <si>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</si>
  <si>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</si>
  <si>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</si>
  <si>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</si>
  <si>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Angela, Mike &amp; Charlie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</si>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</sst>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£&quot;* #,##0.00_-;\-&quot;£&quot;* #,##0.00_-;_-&quot;£&quot;* &quot;-&quot;??_-;_-@_-"/>
    <numFmt numFmtId="164" formatCode="_-[$£-809]* #,##0.00_-;\-[$£-809]* #,##0.00_-;_-[$£-809]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0">
    <xf numFmtId="0" fontId="0" fillId="0" borderId="0" xfId="0"/>
    <xf numFmtId="0" fontId="2" fillId="0" borderId="0" xfId="0" applyFont="1"/>
    <xf numFmtId="164" fontId="2" fillId="0" borderId="0" xfId="1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44" fontId="3" fillId="0" borderId="0" xfId="1" applyFont="1"/>
    <xf numFmtId="44" fontId="0" fillId="0" borderId="0" xfId="1" applyFont="1"/>
    <xf numFmtId="44" fontId="2" fillId="0" borderId="0" xfId="1" applyFont="1"/>
    <xf numFmtId="44" fontId="5" fillId="0" borderId="0" xfId="1" applyFont="1" applyAlignment="1">
      <alignment horizontal="center"/>
    </xf>
    <xf numFmtId="44" fontId="5" fillId="0" borderId="0" xfId="1" applyFont="1"/>
    <xf numFmtId="0" fontId="5" fillId="0" borderId="0" xfId="0" applyFont="1"/>
    <xf numFmtId="0" fontId="2" fillId="0" borderId="0" xfId="0" applyFont="1" applyFill="1"/>
    <xf numFmtId="0" fontId="4" fillId="0" borderId="0" xfId="0" applyFont="1" applyAlignment="1">
      <alignment horizontal="center" vertical="center"/>
    </xf>
    <xf numFmtId="164" fontId="4" fillId="0" borderId="0" xfId="1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44" fontId="4" fillId="0" borderId="0" xfId="1" applyFont="1" applyAlignment="1">
      <alignment horizontal="center" vertical="center"/>
    </xf>
    <xf numFmtId="44" fontId="6" fillId="0" borderId="0" xfId="1" applyFont="1" applyAlignment="1">
      <alignment horizontal="center" wrapText="1"/>
    </xf>
    <xf numFmtId="164" fontId="0" fillId="0" borderId="0" xfId="0" applyNumberFormat="1"/>
    <xf numFmtId="164" fontId="2" fillId="0" borderId="0" xfId="1" applyNumberFormat="1" applyFont="1" applyFill="1"/>
    <xf numFmtId="0" fontId="2" fillId="0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26</xdr:row>
          <xdr:rowOff>19050</xdr:rowOff>
        </xdr:from>
        <xdr:to>
          <xdr:col>8</xdr:col>
          <xdr:colOff>95250</xdr:colOff>
          <xdr:row>28</xdr:row>
          <xdr:rowOff>19050</xdr:rowOff>
        </xdr:to>
        <xdr:sp macro="" textlink="">
          <xdr:nvSpPr>
            <xdr:cNvPr id="1064" name="btnOrder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29</xdr:row>
          <xdr:rowOff>9525</xdr:rowOff>
        </xdr:from>
        <xdr:to>
          <xdr:col>8</xdr:col>
          <xdr:colOff>95250</xdr:colOff>
          <xdr:row>31</xdr:row>
          <xdr:rowOff>9525</xdr:rowOff>
        </xdr:to>
        <xdr:sp macro="" textlink="">
          <xdr:nvSpPr>
            <xdr:cNvPr id="1066" name="btnClear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32</xdr:row>
          <xdr:rowOff>0</xdr:rowOff>
        </xdr:from>
        <xdr:to>
          <xdr:col>8</xdr:col>
          <xdr:colOff>104775</xdr:colOff>
          <xdr:row>34</xdr:row>
          <xdr:rowOff>0</xdr:rowOff>
        </xdr:to>
        <xdr:sp macro="" textlink="">
          <xdr:nvSpPr>
            <xdr:cNvPr id="1070" name="cmdHighlight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blFoodItem" displayName="tblFoodItem" ref="A1:B16" totalsRowShown="0">
  <autoFilter ref="A1:B16"/>
  <sortState ref="A2:B16">
    <sortCondition ref="A2:A16"/>
  </sortState>
  <tableColumns count="2">
    <tableColumn id="1" name="Food"/>
    <tableColumn id="2" name="Price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deData"/>
  <dimension ref="A2:U82"/>
  <sheetViews>
    <sheetView tabSelected="1" topLeftCell="J1" zoomScale="190" zoomScaleNormal="190" workbookViewId="0">
      <selection activeCell="J1" sqref="J1"/>
    </sheetView>
  </sheetViews>
  <sheetFormatPr defaultRowHeight="15" x14ac:dyDescent="0.25"/>
  <cols>
    <col min="1" max="1" width="22.140625" style="1" bestFit="1" customWidth="1"/>
    <col min="2" max="2" width="15.28515625" style="2" customWidth="1"/>
    <col min="3" max="3" width="43.28515625" style="3" customWidth="1"/>
    <col min="4" max="4" width="34" style="1" customWidth="1"/>
    <col min="5" max="5" width="10" style="4" customWidth="1"/>
    <col min="6" max="6" width="22.140625" style="1" bestFit="1" customWidth="1"/>
    <col min="7" max="7" width="9.42578125" style="7" customWidth="1"/>
    <col min="8" max="8" width="22.42578125" style="1" bestFit="1" customWidth="1"/>
    <col min="9" max="9" width="10.7109375" style="1" customWidth="1"/>
    <col min="10" max="10" width="11.42578125" style="10" bestFit="1" customWidth="1"/>
    <col min="11" max="11" width="22.140625" style="10" bestFit="1" customWidth="1"/>
    <col min="12" max="12" width="14.5703125" style="9" bestFit="1" customWidth="1"/>
    <col min="13" max="13" width="18" style="9" customWidth="1"/>
    <col min="14" max="14" width="12.28515625" style="8" customWidth="1"/>
    <col min="15" max="15" width="2.42578125" style="5" bestFit="1" customWidth="1"/>
    <col min="16" max="17" width="9.140625" style="1"/>
    <col min="18" max="18" width="45.28515625" style="1" customWidth="1"/>
    <col min="19" max="19" width="22.140625" style="1" bestFit="1" customWidth="1"/>
    <col min="20" max="20" width="7" style="1" bestFit="1" customWidth="1"/>
    <col min="21" max="21" width="16.5703125" style="1" bestFit="1" customWidth="1"/>
    <col min="22" max="16384" width="9.140625" style="1"/>
  </cols>
  <sheetData>
    <row r="2" spans="1:15" ht="30" x14ac:dyDescent="0.25">
      <c r="A2" s="12" t="s">
        <v>10</v>
      </c>
      <c r="B2" s="13" t="s">
        <v>11</v>
      </c>
      <c r="C2" s="12" t="s">
        <v>9</v>
      </c>
      <c r="D2" s="14"/>
      <c r="E2" s="12" t="s">
        <v>25</v>
      </c>
      <c r="F2" s="12" t="s">
        <v>10</v>
      </c>
      <c r="G2" s="15" t="s">
        <v>11</v>
      </c>
      <c r="H2" s="12" t="s">
        <v>9</v>
      </c>
      <c r="I2" s="14"/>
      <c r="J2" s="12" t="s">
        <v>25</v>
      </c>
      <c r="K2" s="12" t="s">
        <v>10</v>
      </c>
      <c r="L2" s="15" t="s">
        <v>11</v>
      </c>
      <c r="N2" s="16" t="s">
        <v>14</v>
      </c>
    </row>
    <row r="3" spans="1:15" x14ac:dyDescent="0.25">
      <c r="E3" s="1"/>
      <c r="J3"/>
      <c r="K3"/>
      <c r="L3"/>
      <c r="O3" s="7" t="str">
        <f>IFERROR(VLOOKUP(#REF!, tblFoodItem[],2,FALSE)*#REF!,"")</f>
        <v/>
      </c>
    </row>
    <row r="4" spans="1:15" x14ac:dyDescent="0.25">
      <c r="A4" s="11" t="s">
        <v>19</v>
      </c>
      <c r="B4" s="18">
        <f>IFERROR(VLOOKUP(A4, tblFoodItem[],2,FALSE),"")</f>
        <v>6.7</v>
      </c>
      <c r="C4" s="19" t="s">
        <v>8</v>
      </c>
      <c r="E4">
        <v>1</v>
      </c>
      <c r="F4" t="s">
        <v>21</v>
      </c>
      <c r="G4" s="6">
        <v>5.8</v>
      </c>
      <c r="H4" t="s">
        <v>30</v>
      </c>
      <c r="I4"/>
      <c r="J4">
        <v>2</v>
      </c>
      <c r="K4" t="s">
        <v>0</v>
      </c>
      <c r="L4" s="6">
        <v>2.4</v>
      </c>
      <c r="N4" s="8">
        <f>IFERROR(VLOOKUP(K4, tblFoodItem[],2,FALSE)*J4, "-")</f>
        <v>4.8</v>
      </c>
      <c r="O4" s="7"/>
    </row>
    <row r="5" spans="1:15" x14ac:dyDescent="0.25">
      <c r="A5" s="11" t="s">
        <v>1</v>
      </c>
      <c r="B5" s="18">
        <f>IFERROR(VLOOKUP(A5, tblFoodItem[],2,FALSE),"")</f>
        <v>6.1</v>
      </c>
      <c r="C5" s="19" t="s">
        <v>8</v>
      </c>
      <c r="E5">
        <v>2</v>
      </c>
      <c r="F5" t="s">
        <v>0</v>
      </c>
      <c r="G5" s="6">
        <v>2.4</v>
      </c>
      <c r="H5" t="s">
        <v>8</v>
      </c>
      <c r="I5"/>
      <c r="J5">
        <v>2</v>
      </c>
      <c r="K5" t="s">
        <v>15</v>
      </c>
      <c r="L5" s="6">
        <v>2.1</v>
      </c>
      <c r="N5" s="8">
        <f>IFERROR(VLOOKUP(K5, tblFoodItem[],2,FALSE)*J5, "-")</f>
        <v>4.2</v>
      </c>
      <c r="O5" s="7"/>
    </row>
    <row r="6" spans="1:15" x14ac:dyDescent="0.25">
      <c r="A6" s="11" t="s">
        <v>0</v>
      </c>
      <c r="B6" s="18">
        <f>IFERROR(VLOOKUP(A6, tblFoodItem[],2,FALSE),"")</f>
        <v>2.4</v>
      </c>
      <c r="C6" s="19" t="s">
        <v>8</v>
      </c>
      <c r="E6"/>
      <c r="F6" t="s">
        <v>0</v>
      </c>
      <c r="G6" s="6">
        <v>2.4</v>
      </c>
      <c r="H6" t="s">
        <v>30</v>
      </c>
      <c r="I6"/>
      <c r="J6">
        <v>2</v>
      </c>
      <c r="K6" t="s">
        <v>3</v>
      </c>
      <c r="L6" s="6">
        <v>3.5</v>
      </c>
      <c r="N6" s="8">
        <f>IFERROR(VLOOKUP(K6, tblFoodItem[],2,FALSE)*J6, "-")</f>
        <v>7</v>
      </c>
      <c r="O6" s="7"/>
    </row>
    <row r="7" spans="1:15" x14ac:dyDescent="0.25">
      <c r="A7" s="11" t="s">
        <v>15</v>
      </c>
      <c r="B7" s="18">
        <f>IFERROR(VLOOKUP(A7, tblFoodItem[],2,FALSE),"")</f>
        <v>2.1</v>
      </c>
      <c r="C7" s="19" t="s">
        <v>8</v>
      </c>
      <c r="E7">
        <v>2</v>
      </c>
      <c r="F7" t="s">
        <v>15</v>
      </c>
      <c r="G7" s="6">
        <v>2.1</v>
      </c>
      <c r="H7" t="s">
        <v>8</v>
      </c>
      <c r="I7"/>
      <c r="J7">
        <v>1</v>
      </c>
      <c r="K7" t="s">
        <v>21</v>
      </c>
      <c r="L7" s="6">
        <v>5.8</v>
      </c>
      <c r="N7" s="8">
        <f>IFERROR(VLOOKUP(K7, tblFoodItem[],2,FALSE)*J7, "-")</f>
        <v>5.8</v>
      </c>
      <c r="O7" s="7"/>
    </row>
    <row r="8" spans="1:15" x14ac:dyDescent="0.25">
      <c r="A8" s="11" t="s">
        <v>3</v>
      </c>
      <c r="B8" s="18">
        <f>IFERROR(VLOOKUP(A8, tblFoodItem[],2,FALSE),"")</f>
        <v>3.5</v>
      </c>
      <c r="C8" s="19" t="s">
        <v>8</v>
      </c>
      <c r="E8"/>
      <c r="F8" t="s">
        <v>15</v>
      </c>
      <c r="G8" s="6">
        <v>2.1</v>
      </c>
      <c r="H8" t="s">
        <v>30</v>
      </c>
      <c r="I8"/>
      <c r="J8">
        <v>1</v>
      </c>
      <c r="K8" t="s">
        <v>19</v>
      </c>
      <c r="L8" s="6">
        <v>6.7</v>
      </c>
      <c r="N8" s="8">
        <f>IFERROR(VLOOKUP(K8, tblFoodItem[],2,FALSE)*J8, "-")</f>
        <v>6.7</v>
      </c>
      <c r="O8" s="7"/>
    </row>
    <row r="9" spans="1:15" x14ac:dyDescent="0.25">
      <c r="A9" s="11"/>
      <c r="B9" s="18" t="str">
        <f>IFERROR(VLOOKUP(A9, tblFoodItem[],2,FALSE),"")</f>
        <v/>
      </c>
      <c r="C9" s="19"/>
      <c r="E9">
        <v>2</v>
      </c>
      <c r="F9" t="s">
        <v>3</v>
      </c>
      <c r="G9" s="6">
        <v>3.5</v>
      </c>
      <c r="H9" t="s">
        <v>8</v>
      </c>
      <c r="I9"/>
      <c r="J9">
        <v>1</v>
      </c>
      <c r="K9" t="s">
        <v>1</v>
      </c>
      <c r="L9" s="6">
        <v>6.1</v>
      </c>
      <c r="N9" s="8">
        <f>IFERROR(VLOOKUP(K9, tblFoodItem[],2,FALSE)*J9, "-")</f>
        <v>6.1</v>
      </c>
      <c r="O9" s="7"/>
    </row>
    <row r="10" spans="1:15" x14ac:dyDescent="0.25">
      <c r="A10" s="11" t="s">
        <v>0</v>
      </c>
      <c r="B10" s="18">
        <f>IFERROR(VLOOKUP(A10, tblFoodItem[],2,FALSE),"")</f>
        <v>2.4</v>
      </c>
      <c r="C10" s="19" t="s">
        <v>30</v>
      </c>
      <c r="E10"/>
      <c r="F10" t="s">
        <v>3</v>
      </c>
      <c r="G10" s="6">
        <v>3.5</v>
      </c>
      <c r="H10" t="s">
        <v>30</v>
      </c>
      <c r="I10"/>
      <c r="J10"/>
      <c r="K10"/>
      <c r="L10" s="6"/>
      <c r="N10" s="8" t="str">
        <f>IFERROR(VLOOKUP(K10, tblFoodItem[],2,FALSE)*J10, "-")</f>
        <v>-</v>
      </c>
      <c r="O10" s="7"/>
    </row>
    <row r="11" spans="1:15" x14ac:dyDescent="0.25">
      <c r="A11" s="11" t="s">
        <v>21</v>
      </c>
      <c r="B11" s="18">
        <f>IFERROR(VLOOKUP(A11, tblFoodItem[],2,FALSE),"")</f>
        <v>5.8</v>
      </c>
      <c r="C11" s="19" t="s">
        <v>30</v>
      </c>
      <c r="E11">
        <v>1</v>
      </c>
      <c r="F11" t="s">
        <v>19</v>
      </c>
      <c r="G11" s="6">
        <v>6.7</v>
      </c>
      <c r="H11" t="s">
        <v>8</v>
      </c>
      <c r="I11"/>
      <c r="J11"/>
      <c r="K11"/>
      <c r="L11" s="6"/>
      <c r="N11" s="8" t="str">
        <f>IFERROR(VLOOKUP(K11, tblFoodItem[],2,FALSE)*J11, "-")</f>
        <v>-</v>
      </c>
      <c r="O11" s="7"/>
    </row>
    <row r="12" spans="1:15" x14ac:dyDescent="0.25">
      <c r="A12" s="11" t="s">
        <v>3</v>
      </c>
      <c r="B12" s="18">
        <f>IFERROR(VLOOKUP(A12, tblFoodItem[],2,FALSE),"")</f>
        <v>3.5</v>
      </c>
      <c r="C12" s="19" t="s">
        <v>30</v>
      </c>
      <c r="E12">
        <v>1</v>
      </c>
      <c r="F12" t="s">
        <v>1</v>
      </c>
      <c r="G12" s="6">
        <v>6.1</v>
      </c>
      <c r="H12" t="s">
        <v>8</v>
      </c>
      <c r="I12"/>
      <c r="J12"/>
      <c r="K12"/>
      <c r="L12" s="6"/>
      <c r="N12" s="8" t="str">
        <f>IFERROR(VLOOKUP(K12, tblFoodItem[],2,FALSE)*J12, "-")</f>
        <v>-</v>
      </c>
      <c r="O12" s="7"/>
    </row>
    <row r="13" spans="1:15" x14ac:dyDescent="0.25">
      <c r="A13" s="11"/>
      <c r="B13" s="18" t="str">
        <f>IFERROR(VLOOKUP(A13, tblFoodItem[],2,FALSE),"")</f>
        <v/>
      </c>
      <c r="C13" s="19"/>
      <c r="E13"/>
      <c r="F13"/>
      <c r="G13" s="6" t="s">
        <v>56</v>
      </c>
      <c r="H13"/>
      <c r="I13"/>
      <c r="J13"/>
      <c r="K13"/>
      <c r="L13" s="6"/>
      <c r="N13" s="8" t="str">
        <f>IFERROR(VLOOKUP(K13, tblFoodItem[],2,FALSE)*J13, "-")</f>
        <v>-</v>
      </c>
      <c r="O13" s="7"/>
    </row>
    <row r="14" spans="1:15" x14ac:dyDescent="0.25">
      <c r="A14" s="11" t="s">
        <v>15</v>
      </c>
      <c r="B14" s="18">
        <f>IFERROR(VLOOKUP(A14, tblFoodItem[],2,FALSE),"")</f>
        <v>2.1</v>
      </c>
      <c r="C14" s="19" t="s">
        <v>30</v>
      </c>
      <c r="E14"/>
      <c r="F14"/>
      <c r="G14" s="6" t="s">
        <v>56</v>
      </c>
      <c r="H14"/>
      <c r="I14"/>
      <c r="J14"/>
      <c r="K14"/>
      <c r="L14" s="6"/>
      <c r="O14" s="7"/>
    </row>
    <row r="15" spans="1:15" x14ac:dyDescent="0.25">
      <c r="A15" s="11"/>
      <c r="B15" s="18"/>
      <c r="C15" s="19"/>
      <c r="E15"/>
      <c r="F15"/>
      <c r="G15" s="6"/>
      <c r="H15"/>
      <c r="I15"/>
      <c r="J15"/>
      <c r="K15"/>
      <c r="L15" s="6"/>
    </row>
    <row r="16" spans="1:15" x14ac:dyDescent="0.25">
      <c r="A16" s="11"/>
      <c r="B16" s="18"/>
      <c r="C16" s="19"/>
      <c r="E16"/>
      <c r="F16"/>
      <c r="G16" s="6"/>
      <c r="H16"/>
      <c r="I16"/>
      <c r="J16"/>
      <c r="K16"/>
      <c r="L16" s="6"/>
    </row>
    <row r="17" spans="1:14" x14ac:dyDescent="0.25">
      <c r="A17" s="11"/>
      <c r="B17" s="18" t="str">
        <f>IFERROR(VLOOKUP(A17, tblFoodItem[],2,FALSE),"")</f>
        <v/>
      </c>
      <c r="C17" s="19"/>
      <c r="E17"/>
      <c r="F17"/>
      <c r="G17" s="6" t="s">
        <v>56</v>
      </c>
      <c r="H17"/>
      <c r="I17"/>
      <c r="J17"/>
      <c r="K17"/>
      <c r="L17" s="6"/>
      <c r="N17" s="8">
        <f>SUM(N4:N16)</f>
        <v>34.6</v>
      </c>
    </row>
    <row r="18" spans="1:14" x14ac:dyDescent="0.25">
      <c r="A18" s="11"/>
      <c r="B18" s="18" t="str">
        <f>IFERROR(VLOOKUP(A18, tblFoodItem[],2,FALSE),"")</f>
        <v/>
      </c>
      <c r="C18" s="19"/>
      <c r="E18"/>
      <c r="F18"/>
      <c r="G18" s="6" t="s">
        <v>56</v>
      </c>
      <c r="H18"/>
      <c r="I18"/>
      <c r="J18"/>
      <c r="K18"/>
      <c r="L18" s="6"/>
    </row>
    <row r="19" spans="1:14" x14ac:dyDescent="0.25">
      <c r="A19" s="11"/>
      <c r="B19" s="18" t="str">
        <f>IFERROR(VLOOKUP(A19, tblFoodItem[],2,FALSE),"")</f>
        <v/>
      </c>
      <c r="C19" s="19"/>
      <c r="E19"/>
      <c r="F19"/>
      <c r="G19" s="6" t="s">
        <v>56</v>
      </c>
      <c r="H19"/>
      <c r="I19"/>
      <c r="J19"/>
      <c r="K19"/>
      <c r="L19" s="6"/>
    </row>
    <row r="20" spans="1:14" x14ac:dyDescent="0.25">
      <c r="A20" s="11"/>
      <c r="B20" s="18" t="str">
        <f>IFERROR(VLOOKUP(A20, tblFoodItem[],2,FALSE),"")</f>
        <v/>
      </c>
      <c r="C20" s="19"/>
      <c r="E20"/>
      <c r="F20"/>
      <c r="G20" s="6" t="s">
        <v>56</v>
      </c>
      <c r="H20"/>
      <c r="I20"/>
      <c r="J20"/>
      <c r="K20"/>
      <c r="L20" s="6"/>
    </row>
    <row r="21" spans="1:14" x14ac:dyDescent="0.25">
      <c r="A21" s="11"/>
      <c r="B21" s="18" t="str">
        <f>IFERROR(VLOOKUP(A21, tblFoodItem[],2,FALSE),"")</f>
        <v/>
      </c>
      <c r="C21" s="19"/>
      <c r="E21"/>
      <c r="F21"/>
      <c r="G21" s="6" t="s">
        <v>56</v>
      </c>
      <c r="H21"/>
      <c r="I21"/>
      <c r="J21"/>
      <c r="K21"/>
      <c r="L21" s="6"/>
    </row>
    <row r="22" spans="1:14" x14ac:dyDescent="0.25">
      <c r="A22" s="11"/>
      <c r="B22" s="18" t="str">
        <f>IFERROR(VLOOKUP(A22, tblFoodItem[],2,FALSE),"")</f>
        <v/>
      </c>
      <c r="C22" s="19"/>
      <c r="E22"/>
      <c r="F22"/>
      <c r="G22" s="6" t="s">
        <v>56</v>
      </c>
      <c r="H22"/>
      <c r="I22"/>
      <c r="J22"/>
      <c r="K22"/>
      <c r="L22" s="6"/>
    </row>
    <row r="23" spans="1:14" x14ac:dyDescent="0.25">
      <c r="A23" s="11"/>
      <c r="B23" s="18" t="str">
        <f>IFERROR(VLOOKUP(A23, tblFoodItem[],2,FALSE),"")</f>
        <v/>
      </c>
      <c r="C23" s="19"/>
      <c r="E23"/>
      <c r="F23"/>
      <c r="G23" s="6" t="s">
        <v>56</v>
      </c>
      <c r="H23"/>
      <c r="I23"/>
      <c r="J23"/>
      <c r="K23"/>
      <c r="L23" s="6"/>
    </row>
    <row r="24" spans="1:14" x14ac:dyDescent="0.25">
      <c r="A24" s="11"/>
      <c r="B24" s="18" t="str">
        <f>IFERROR(VLOOKUP(A24, tblFoodItem[],2,FALSE),"")</f>
        <v/>
      </c>
      <c r="C24" s="19"/>
      <c r="E24"/>
      <c r="F24"/>
      <c r="G24" s="6" t="s">
        <v>56</v>
      </c>
      <c r="H24"/>
      <c r="I24"/>
      <c r="J24"/>
      <c r="K24"/>
      <c r="L24" s="6"/>
    </row>
    <row r="27" spans="1:14" x14ac:dyDescent="0.25">
      <c r="F27" s="8"/>
    </row>
    <row r="33" spans="2:21" x14ac:dyDescent="0.25">
      <c r="S33" s="11"/>
      <c r="T33" s="2"/>
      <c r="U33" s="3"/>
    </row>
    <row r="34" spans="2:21" x14ac:dyDescent="0.25">
      <c r="S34" s="11"/>
      <c r="T34" s="2"/>
      <c r="U34" s="3"/>
    </row>
    <row r="35" spans="2:21" x14ac:dyDescent="0.25">
      <c r="S35" s="11"/>
      <c r="T35" s="2"/>
      <c r="U35" s="3"/>
    </row>
    <row r="36" spans="2:21" x14ac:dyDescent="0.25">
      <c r="S36" s="11"/>
      <c r="T36" s="2"/>
      <c r="U36" s="3"/>
    </row>
    <row r="37" spans="2:21" x14ac:dyDescent="0.25">
      <c r="B37" s="1"/>
      <c r="C37" s="1"/>
      <c r="D37" s="11"/>
      <c r="E37" s="2"/>
      <c r="F37" s="3"/>
      <c r="G37" s="1"/>
      <c r="J37" s="1"/>
      <c r="K37" s="1"/>
      <c r="L37" s="1"/>
      <c r="M37" s="1"/>
      <c r="N37" s="1"/>
      <c r="O37" s="1"/>
    </row>
    <row r="38" spans="2:21" x14ac:dyDescent="0.25">
      <c r="B38" s="1"/>
      <c r="C38" s="1"/>
      <c r="D38" s="11"/>
      <c r="E38" s="2"/>
      <c r="F38" s="3"/>
      <c r="G38" s="1"/>
      <c r="J38" s="1"/>
      <c r="K38" s="1"/>
      <c r="L38" s="1"/>
      <c r="M38" s="1"/>
      <c r="N38" s="1"/>
      <c r="O38" s="1"/>
    </row>
    <row r="39" spans="2:21" x14ac:dyDescent="0.25">
      <c r="B39" s="1"/>
      <c r="C39" s="1"/>
      <c r="D39" s="11"/>
      <c r="E39" s="2"/>
      <c r="F39" s="3"/>
      <c r="G39" s="1"/>
      <c r="J39" s="1"/>
      <c r="K39" s="1"/>
      <c r="L39" s="1"/>
      <c r="M39" s="1"/>
      <c r="N39" s="1"/>
      <c r="O39" s="1"/>
    </row>
    <row r="40" spans="2:21" x14ac:dyDescent="0.25">
      <c r="B40" s="1"/>
      <c r="C40" s="1"/>
      <c r="D40" s="11"/>
      <c r="E40" s="2"/>
      <c r="F40" s="3"/>
      <c r="G40" s="1"/>
      <c r="J40" s="1"/>
      <c r="K40" s="1"/>
      <c r="L40" s="1"/>
      <c r="M40" s="1"/>
      <c r="N40" s="1"/>
      <c r="O40" s="1"/>
    </row>
    <row r="41" spans="2:21" x14ac:dyDescent="0.25">
      <c r="B41" s="1"/>
      <c r="C41" s="1"/>
      <c r="D41" s="11"/>
      <c r="E41" s="2"/>
      <c r="F41" s="3"/>
      <c r="G41" s="1"/>
      <c r="J41" s="1"/>
      <c r="K41" s="1"/>
      <c r="L41" s="1"/>
      <c r="M41" s="1"/>
      <c r="N41" s="1"/>
      <c r="O41" s="1"/>
    </row>
    <row r="42" spans="2:21" x14ac:dyDescent="0.25">
      <c r="B42" s="1"/>
      <c r="C42" s="1"/>
      <c r="D42" s="11"/>
      <c r="E42" s="2"/>
      <c r="F42" s="3"/>
      <c r="G42" s="1"/>
      <c r="J42" s="1"/>
      <c r="K42" s="1"/>
      <c r="L42" s="1"/>
      <c r="M42" s="1"/>
      <c r="N42" s="1"/>
      <c r="O42" s="1"/>
    </row>
    <row r="43" spans="2:21" x14ac:dyDescent="0.25">
      <c r="B43" s="1"/>
      <c r="C43" s="1"/>
      <c r="D43" s="11"/>
      <c r="E43" s="2"/>
      <c r="F43" s="3"/>
      <c r="G43" s="1"/>
      <c r="J43" s="1"/>
      <c r="K43" s="1"/>
      <c r="L43" s="1"/>
      <c r="M43" s="1"/>
      <c r="N43" s="1"/>
      <c r="O43" s="1"/>
    </row>
    <row r="44" spans="2:21" x14ac:dyDescent="0.25">
      <c r="B44" s="1"/>
      <c r="C44" s="1"/>
      <c r="D44" s="11"/>
      <c r="E44" s="2"/>
      <c r="F44" s="3"/>
      <c r="G44" s="1"/>
      <c r="J44" s="1"/>
      <c r="K44" s="1"/>
      <c r="L44" s="1"/>
      <c r="M44" s="1"/>
      <c r="N44" s="1"/>
      <c r="O44" s="1"/>
    </row>
    <row r="45" spans="2:21" x14ac:dyDescent="0.25">
      <c r="B45" s="1"/>
      <c r="C45" s="1"/>
      <c r="D45" s="11"/>
      <c r="E45" s="2"/>
      <c r="F45" s="3"/>
      <c r="G45" s="1"/>
      <c r="J45" s="1"/>
      <c r="K45" s="1"/>
      <c r="L45" s="1"/>
      <c r="M45" s="1"/>
      <c r="N45" s="1"/>
      <c r="O45" s="1"/>
    </row>
    <row r="46" spans="2:21" x14ac:dyDescent="0.25">
      <c r="B46" s="1"/>
      <c r="C46" s="1"/>
      <c r="D46" s="11"/>
      <c r="E46" s="1"/>
      <c r="G46" s="1"/>
      <c r="J46" s="1"/>
      <c r="K46" s="1"/>
      <c r="L46" s="1"/>
      <c r="M46" s="1"/>
      <c r="N46" s="1"/>
      <c r="O46" s="1"/>
    </row>
    <row r="47" spans="2:21" x14ac:dyDescent="0.25">
      <c r="B47" s="1"/>
      <c r="C47" s="1"/>
      <c r="D47" s="11"/>
      <c r="E47" s="1"/>
      <c r="G47" s="1"/>
      <c r="J47" s="1"/>
      <c r="K47" s="1"/>
      <c r="L47" s="1"/>
      <c r="M47" s="1"/>
      <c r="N47" s="1"/>
      <c r="O47" s="1"/>
    </row>
    <row r="48" spans="2:21" x14ac:dyDescent="0.25">
      <c r="B48" s="1"/>
      <c r="C48" s="1"/>
      <c r="D48" s="11"/>
      <c r="E48" s="1"/>
      <c r="G48" s="1"/>
      <c r="J48" s="1"/>
      <c r="K48" s="1"/>
      <c r="L48" s="1"/>
      <c r="M48" s="1"/>
      <c r="N48" s="1"/>
      <c r="O48" s="1"/>
    </row>
    <row r="49" spans="2:4" x14ac:dyDescent="0.25">
      <c r="B49" s="1"/>
      <c r="C49" s="1"/>
      <c r="D49" s="11"/>
    </row>
    <row r="50" spans="2:4" x14ac:dyDescent="0.25">
      <c r="B50" s="1"/>
      <c r="C50" s="1"/>
      <c r="D50" s="11"/>
    </row>
    <row r="51" spans="2:4" x14ac:dyDescent="0.25">
      <c r="B51" s="1"/>
      <c r="C51" s="1"/>
      <c r="D51" s="11"/>
    </row>
    <row r="52" spans="2:4" x14ac:dyDescent="0.25">
      <c r="B52" s="1"/>
      <c r="C52" s="1"/>
      <c r="D52" s="11"/>
    </row>
    <row r="53" spans="2:4" x14ac:dyDescent="0.25">
      <c r="B53" s="1"/>
      <c r="C53" s="1"/>
      <c r="D53" s="11"/>
    </row>
    <row r="54" spans="2:4" x14ac:dyDescent="0.25">
      <c r="B54" s="1"/>
      <c r="C54" s="1"/>
      <c r="D54" s="11"/>
    </row>
    <row r="55" spans="2:4" x14ac:dyDescent="0.25">
      <c r="B55" s="1"/>
      <c r="C55" s="1"/>
      <c r="D55" s="11"/>
    </row>
    <row r="56" spans="2:4" x14ac:dyDescent="0.25">
      <c r="B56" s="1"/>
      <c r="C56" s="1"/>
      <c r="D56" s="11"/>
    </row>
    <row r="57" spans="2:4" x14ac:dyDescent="0.25">
      <c r="B57" s="1"/>
      <c r="C57" s="1"/>
      <c r="D57" s="11"/>
    </row>
    <row r="62" spans="2:4" x14ac:dyDescent="0.25">
      <c r="B62" s="1"/>
      <c r="C62" s="1"/>
      <c r="D62" s="3"/>
    </row>
    <row r="63" spans="2:4" x14ac:dyDescent="0.25">
      <c r="B63" s="1"/>
      <c r="C63" s="1"/>
      <c r="D63" s="3"/>
    </row>
    <row r="64" spans="2:4" x14ac:dyDescent="0.25">
      <c r="B64" s="1"/>
      <c r="C64" s="1"/>
      <c r="D64" s="3"/>
    </row>
    <row r="65" spans="2:4" x14ac:dyDescent="0.25">
      <c r="B65" s="1"/>
      <c r="C65" s="1"/>
      <c r="D65" s="3"/>
    </row>
    <row r="66" spans="2:4" x14ac:dyDescent="0.25">
      <c r="B66" s="1"/>
      <c r="C66" s="1"/>
      <c r="D66" s="3"/>
    </row>
    <row r="67" spans="2:4" x14ac:dyDescent="0.25">
      <c r="B67" s="1"/>
      <c r="C67" s="1"/>
      <c r="D67" s="3"/>
    </row>
    <row r="68" spans="2:4" x14ac:dyDescent="0.25">
      <c r="B68" s="1"/>
      <c r="C68" s="1"/>
      <c r="D68" s="3"/>
    </row>
    <row r="69" spans="2:4" x14ac:dyDescent="0.25">
      <c r="B69" s="1"/>
      <c r="C69" s="1"/>
      <c r="D69" s="3"/>
    </row>
    <row r="70" spans="2:4" x14ac:dyDescent="0.25">
      <c r="B70" s="1"/>
      <c r="C70" s="1"/>
      <c r="D70" s="3"/>
    </row>
    <row r="71" spans="2:4" x14ac:dyDescent="0.25">
      <c r="B71" s="1"/>
      <c r="C71" s="1"/>
      <c r="D71" s="3"/>
    </row>
    <row r="72" spans="2:4" x14ac:dyDescent="0.25">
      <c r="B72" s="1"/>
      <c r="C72" s="1"/>
      <c r="D72" s="3"/>
    </row>
    <row r="73" spans="2:4" x14ac:dyDescent="0.25">
      <c r="B73" s="1"/>
      <c r="C73" s="1"/>
      <c r="D73" s="3"/>
    </row>
    <row r="74" spans="2:4" x14ac:dyDescent="0.25">
      <c r="B74" s="1"/>
      <c r="C74" s="1"/>
      <c r="D74" s="3"/>
    </row>
    <row r="75" spans="2:4" x14ac:dyDescent="0.25">
      <c r="B75" s="1"/>
      <c r="C75" s="1"/>
      <c r="D75" s="3"/>
    </row>
    <row r="76" spans="2:4" x14ac:dyDescent="0.25">
      <c r="B76" s="1"/>
      <c r="C76" s="1"/>
      <c r="D76" s="3"/>
    </row>
    <row r="77" spans="2:4" x14ac:dyDescent="0.25">
      <c r="B77" s="1"/>
      <c r="C77" s="1"/>
      <c r="D77" s="3"/>
    </row>
    <row r="78" spans="2:4" x14ac:dyDescent="0.25">
      <c r="B78" s="1"/>
      <c r="C78" s="1"/>
      <c r="D78" s="3"/>
    </row>
    <row r="79" spans="2:4" x14ac:dyDescent="0.25">
      <c r="B79" s="1"/>
      <c r="C79" s="1"/>
      <c r="D79" s="3"/>
    </row>
    <row r="80" spans="2:4" x14ac:dyDescent="0.25">
      <c r="B80" s="1"/>
      <c r="C80" s="1"/>
      <c r="D80" s="3"/>
    </row>
    <row r="81" spans="2:4" x14ac:dyDescent="0.25">
      <c r="B81" s="1"/>
      <c r="C81" s="1"/>
      <c r="D81" s="3"/>
    </row>
    <row r="82" spans="2:4" x14ac:dyDescent="0.25">
      <c r="B82" s="1"/>
      <c r="C82" s="1"/>
      <c r="D82" s="3"/>
    </row>
  </sheetData>
  <sortState ref="J4:L24">
    <sortCondition descending="1" ref="J4"/>
  </sortState>
  <dataConsolidate/>
  <dataValidations count="4">
    <dataValidation type="list" allowBlank="1" showInputMessage="1" showErrorMessage="1" sqref="C3">
      <formula1>person</formula1>
    </dataValidation>
    <dataValidation type="list" allowBlank="1" showInputMessage="1" showErrorMessage="1" sqref="A3:B3">
      <formula1>meal</formula1>
    </dataValidation>
    <dataValidation type="list" showInputMessage="1" showErrorMessage="1" sqref="D37:D57 A35 S33:S36 A4:A24">
      <formula1>rngFoodItem</formula1>
    </dataValidation>
    <dataValidation type="list" allowBlank="1" showInputMessage="1" showErrorMessage="1" sqref="D62:D82 U33:U36 F37:F45 C14:C24 C4:C11">
      <formula1>names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064" r:id="rId4" name="btnOrder">
          <controlPr defaultSize="0" autoLine="0" r:id="rId5">
            <anchor moveWithCells="1">
              <from>
                <xdr:col>7</xdr:col>
                <xdr:colOff>323850</xdr:colOff>
                <xdr:row>26</xdr:row>
                <xdr:rowOff>19050</xdr:rowOff>
              </from>
              <to>
                <xdr:col>8</xdr:col>
                <xdr:colOff>95250</xdr:colOff>
                <xdr:row>28</xdr:row>
                <xdr:rowOff>19050</xdr:rowOff>
              </to>
            </anchor>
          </controlPr>
        </control>
      </mc:Choice>
      <mc:Fallback>
        <control shapeId="1064" r:id="rId4" name="btnOrder"/>
      </mc:Fallback>
    </mc:AlternateContent>
    <mc:AlternateContent xmlns:mc="http://schemas.openxmlformats.org/markup-compatibility/2006">
      <mc:Choice Requires="x14">
        <control shapeId="1066" r:id="rId6" name="btnClear">
          <controlPr defaultSize="0" autoLine="0" r:id="rId7">
            <anchor moveWithCells="1">
              <from>
                <xdr:col>7</xdr:col>
                <xdr:colOff>323850</xdr:colOff>
                <xdr:row>29</xdr:row>
                <xdr:rowOff>9525</xdr:rowOff>
              </from>
              <to>
                <xdr:col>8</xdr:col>
                <xdr:colOff>95250</xdr:colOff>
                <xdr:row>31</xdr:row>
                <xdr:rowOff>9525</xdr:rowOff>
              </to>
            </anchor>
          </controlPr>
        </control>
      </mc:Choice>
      <mc:Fallback>
        <control shapeId="1066" r:id="rId6" name="btnClear"/>
      </mc:Fallback>
    </mc:AlternateContent>
    <mc:AlternateContent xmlns:mc="http://schemas.openxmlformats.org/markup-compatibility/2006">
      <mc:Choice Requires="x14">
        <control shapeId="1070" r:id="rId8" name="cmdHighlight">
          <controlPr defaultSize="0" autoLine="0" r:id="rId9">
            <anchor moveWithCells="1">
              <from>
                <xdr:col>7</xdr:col>
                <xdr:colOff>323850</xdr:colOff>
                <xdr:row>32</xdr:row>
                <xdr:rowOff>0</xdr:rowOff>
              </from>
              <to>
                <xdr:col>8</xdr:col>
                <xdr:colOff>104775</xdr:colOff>
                <xdr:row>34</xdr:row>
                <xdr:rowOff>0</xdr:rowOff>
              </to>
            </anchor>
          </controlPr>
        </control>
      </mc:Choice>
      <mc:Fallback>
        <control shapeId="1070" r:id="rId8" name="cmdHighligh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7:I28"/>
  <sheetViews>
    <sheetView workbookViewId="0">
      <selection activeCell="L26" sqref="L26"/>
    </sheetView>
  </sheetViews>
  <sheetFormatPr defaultRowHeight="15" x14ac:dyDescent="0.25"/>
  <cols>
    <col min="7" max="7" width="12.140625" bestFit="1" customWidth="1"/>
    <col min="8" max="8" width="18" bestFit="1" customWidth="1"/>
    <col min="9" max="9" width="40.28515625" bestFit="1" customWidth="1"/>
  </cols>
  <sheetData>
    <row r="7" spans="5:9" x14ac:dyDescent="0.25">
      <c r="E7" t="s">
        <v>33</v>
      </c>
      <c r="F7" t="s">
        <v>34</v>
      </c>
      <c r="G7" s="2" t="s">
        <v>44</v>
      </c>
      <c r="H7" t="s">
        <v>19</v>
      </c>
      <c r="I7" s="17" t="str">
        <f>E7&amp;F7&amp;G7&amp;H7&amp;""""</f>
        <v>Range("A4").Value = "Special Chow Mein"</v>
      </c>
    </row>
    <row r="8" spans="5:9" x14ac:dyDescent="0.25">
      <c r="E8" t="s">
        <v>33</v>
      </c>
      <c r="F8" t="s">
        <v>35</v>
      </c>
      <c r="G8" s="2" t="s">
        <v>44</v>
      </c>
      <c r="H8" t="s">
        <v>1</v>
      </c>
      <c r="I8" s="17" t="str">
        <f t="shared" ref="I8:I28" si="0">E8&amp;F8&amp;G8&amp;H8&amp;""""</f>
        <v>Range("A5").Value = "Special Curry"</v>
      </c>
    </row>
    <row r="9" spans="5:9" x14ac:dyDescent="0.25">
      <c r="E9" t="s">
        <v>33</v>
      </c>
      <c r="F9" t="s">
        <v>36</v>
      </c>
      <c r="G9" s="2" t="s">
        <v>44</v>
      </c>
      <c r="H9" t="s">
        <v>0</v>
      </c>
      <c r="I9" s="17" t="str">
        <f t="shared" si="0"/>
        <v>Range("A6").Value = "Chips"</v>
      </c>
    </row>
    <row r="10" spans="5:9" x14ac:dyDescent="0.25">
      <c r="E10" t="s">
        <v>33</v>
      </c>
      <c r="F10" t="s">
        <v>37</v>
      </c>
      <c r="G10" s="2" t="s">
        <v>44</v>
      </c>
      <c r="H10" t="s">
        <v>15</v>
      </c>
      <c r="I10" s="17" t="str">
        <f t="shared" si="0"/>
        <v>Range("A7").Value = "Curry Sauce"</v>
      </c>
    </row>
    <row r="11" spans="5:9" x14ac:dyDescent="0.25">
      <c r="E11" t="s">
        <v>33</v>
      </c>
      <c r="F11" t="s">
        <v>38</v>
      </c>
      <c r="G11" s="2" t="s">
        <v>44</v>
      </c>
      <c r="H11" t="s">
        <v>3</v>
      </c>
      <c r="I11" s="17" t="str">
        <f t="shared" si="0"/>
        <v>Range("A8").Value = "Egg Fried Rice"</v>
      </c>
    </row>
    <row r="12" spans="5:9" x14ac:dyDescent="0.25">
      <c r="E12" t="s">
        <v>33</v>
      </c>
      <c r="F12" t="s">
        <v>39</v>
      </c>
      <c r="G12" s="2" t="s">
        <v>44</v>
      </c>
      <c r="H12" t="s">
        <v>21</v>
      </c>
      <c r="I12" s="17" t="str">
        <f t="shared" si="0"/>
        <v>Range("A9").Value = "Chicken Curry"</v>
      </c>
    </row>
    <row r="13" spans="5:9" x14ac:dyDescent="0.25">
      <c r="E13" t="s">
        <v>33</v>
      </c>
      <c r="F13" t="s">
        <v>40</v>
      </c>
      <c r="G13" s="2" t="s">
        <v>44</v>
      </c>
      <c r="H13" t="s">
        <v>3</v>
      </c>
      <c r="I13" s="17" t="str">
        <f t="shared" si="0"/>
        <v>Range("A10").Value = "Egg Fried Rice"</v>
      </c>
    </row>
    <row r="14" spans="5:9" x14ac:dyDescent="0.25">
      <c r="E14" t="s">
        <v>33</v>
      </c>
      <c r="F14" t="s">
        <v>41</v>
      </c>
      <c r="G14" s="2" t="s">
        <v>44</v>
      </c>
      <c r="H14" t="s">
        <v>0</v>
      </c>
      <c r="I14" s="17" t="str">
        <f t="shared" si="0"/>
        <v>Range("A11").Value = "Chips"</v>
      </c>
    </row>
    <row r="15" spans="5:9" x14ac:dyDescent="0.25">
      <c r="E15" t="s">
        <v>33</v>
      </c>
      <c r="F15" t="s">
        <v>42</v>
      </c>
      <c r="G15" s="2" t="s">
        <v>44</v>
      </c>
      <c r="H15" t="s">
        <v>15</v>
      </c>
      <c r="I15" s="17" t="str">
        <f t="shared" si="0"/>
        <v>Range("A12").Value = "Curry Sauce"</v>
      </c>
    </row>
    <row r="16" spans="5:9" x14ac:dyDescent="0.25">
      <c r="E16" t="s">
        <v>33</v>
      </c>
      <c r="F16" t="s">
        <v>43</v>
      </c>
      <c r="G16" s="2" t="s">
        <v>44</v>
      </c>
      <c r="H16" t="s">
        <v>19</v>
      </c>
      <c r="I16" s="17" t="str">
        <f t="shared" si="0"/>
        <v>Range("A13").Value = "Special Chow Mein"</v>
      </c>
    </row>
    <row r="17" spans="5:9" x14ac:dyDescent="0.25">
      <c r="G17" s="2"/>
      <c r="I17" s="17"/>
    </row>
    <row r="18" spans="5:9" x14ac:dyDescent="0.25">
      <c r="G18" s="2"/>
      <c r="I18" s="17"/>
    </row>
    <row r="19" spans="5:9" x14ac:dyDescent="0.25">
      <c r="E19" t="s">
        <v>33</v>
      </c>
      <c r="F19" t="s">
        <v>45</v>
      </c>
      <c r="G19" s="2" t="s">
        <v>44</v>
      </c>
      <c r="H19" t="s">
        <v>8</v>
      </c>
      <c r="I19" s="17" t="str">
        <f t="shared" si="0"/>
        <v>Range("C4").Value = "Angela &amp; Mike"</v>
      </c>
    </row>
    <row r="20" spans="5:9" x14ac:dyDescent="0.25">
      <c r="E20" t="s">
        <v>33</v>
      </c>
      <c r="F20" t="s">
        <v>46</v>
      </c>
      <c r="G20" s="2" t="s">
        <v>44</v>
      </c>
      <c r="H20" t="s">
        <v>8</v>
      </c>
      <c r="I20" s="17" t="str">
        <f t="shared" si="0"/>
        <v>Range("C5").Value = "Angela &amp; Mike"</v>
      </c>
    </row>
    <row r="21" spans="5:9" x14ac:dyDescent="0.25">
      <c r="E21" t="s">
        <v>33</v>
      </c>
      <c r="F21" t="s">
        <v>47</v>
      </c>
      <c r="G21" s="2" t="s">
        <v>44</v>
      </c>
      <c r="H21" t="s">
        <v>8</v>
      </c>
      <c r="I21" s="17" t="str">
        <f t="shared" si="0"/>
        <v>Range("C6").Value = "Angela &amp; Mike"</v>
      </c>
    </row>
    <row r="22" spans="5:9" x14ac:dyDescent="0.25">
      <c r="E22" t="s">
        <v>33</v>
      </c>
      <c r="F22" t="s">
        <v>48</v>
      </c>
      <c r="G22" s="2" t="s">
        <v>44</v>
      </c>
      <c r="H22" t="s">
        <v>8</v>
      </c>
      <c r="I22" s="17" t="str">
        <f t="shared" si="0"/>
        <v>Range("C7").Value = "Angela &amp; Mike"</v>
      </c>
    </row>
    <row r="23" spans="5:9" x14ac:dyDescent="0.25">
      <c r="E23" t="s">
        <v>33</v>
      </c>
      <c r="F23" t="s">
        <v>49</v>
      </c>
      <c r="G23" s="2" t="s">
        <v>44</v>
      </c>
      <c r="H23" t="s">
        <v>8</v>
      </c>
      <c r="I23" s="17" t="str">
        <f t="shared" si="0"/>
        <v>Range("C8").Value = "Angela &amp; Mike"</v>
      </c>
    </row>
    <row r="24" spans="5:9" x14ac:dyDescent="0.25">
      <c r="E24" t="s">
        <v>33</v>
      </c>
      <c r="F24" t="s">
        <v>50</v>
      </c>
      <c r="G24" s="2" t="s">
        <v>44</v>
      </c>
      <c r="H24" t="s">
        <v>30</v>
      </c>
      <c r="I24" s="17" t="str">
        <f t="shared" si="0"/>
        <v>Range("C9").Value = "Charles"</v>
      </c>
    </row>
    <row r="25" spans="5:9" x14ac:dyDescent="0.25">
      <c r="E25" t="s">
        <v>33</v>
      </c>
      <c r="F25" t="s">
        <v>51</v>
      </c>
      <c r="G25" s="2" t="s">
        <v>44</v>
      </c>
      <c r="H25" t="s">
        <v>28</v>
      </c>
      <c r="I25" s="17" t="str">
        <f t="shared" si="0"/>
        <v>Range("C10").Value = "Celia &amp; Charles"</v>
      </c>
    </row>
    <row r="26" spans="5:9" x14ac:dyDescent="0.25">
      <c r="E26" t="s">
        <v>33</v>
      </c>
      <c r="F26" t="s">
        <v>52</v>
      </c>
      <c r="G26" s="2" t="s">
        <v>44</v>
      </c>
      <c r="H26" t="s">
        <v>28</v>
      </c>
      <c r="I26" s="17" t="str">
        <f t="shared" si="0"/>
        <v>Range("C11").Value = "Celia &amp; Charles"</v>
      </c>
    </row>
    <row r="27" spans="5:9" x14ac:dyDescent="0.25">
      <c r="E27" t="s">
        <v>33</v>
      </c>
      <c r="F27" t="s">
        <v>53</v>
      </c>
      <c r="G27" s="2" t="s">
        <v>44</v>
      </c>
      <c r="H27" t="s">
        <v>28</v>
      </c>
      <c r="I27" s="17" t="str">
        <f t="shared" si="0"/>
        <v>Range("C12").Value = "Celia &amp; Charles"</v>
      </c>
    </row>
    <row r="28" spans="5:9" x14ac:dyDescent="0.25">
      <c r="E28" t="s">
        <v>33</v>
      </c>
      <c r="F28" t="s">
        <v>54</v>
      </c>
      <c r="G28" s="2" t="s">
        <v>44</v>
      </c>
      <c r="H28" t="s">
        <v>2</v>
      </c>
      <c r="I28" s="17" t="str">
        <f t="shared" si="0"/>
        <v>Range("C13").Value = "Celia"</v>
      </c>
    </row>
  </sheetData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6"/>
  <sheetViews>
    <sheetView zoomScale="130" zoomScaleNormal="130" workbookViewId="0">
      <selection activeCell="F19" sqref="F19"/>
    </sheetView>
  </sheetViews>
  <sheetFormatPr defaultRowHeight="15" x14ac:dyDescent="0.25"/>
  <cols>
    <col min="1" max="1" width="21.7109375" bestFit="1" customWidth="1"/>
    <col min="2" max="2" width="11" style="6" customWidth="1"/>
    <col min="7" max="7" width="19.85546875" customWidth="1"/>
  </cols>
  <sheetData>
    <row r="1" spans="1:8" x14ac:dyDescent="0.25">
      <c r="A1" t="s">
        <v>12</v>
      </c>
      <c r="B1" s="6" t="s">
        <v>13</v>
      </c>
    </row>
    <row r="2" spans="1:8" x14ac:dyDescent="0.25">
      <c r="A2" t="s">
        <v>24</v>
      </c>
      <c r="B2" s="6">
        <v>5.9</v>
      </c>
    </row>
    <row r="3" spans="1:8" x14ac:dyDescent="0.25">
      <c r="A3" t="s">
        <v>21</v>
      </c>
      <c r="B3" s="6">
        <v>5.8</v>
      </c>
    </row>
    <row r="4" spans="1:8" x14ac:dyDescent="0.25">
      <c r="A4" t="s">
        <v>0</v>
      </c>
      <c r="B4" s="6">
        <v>2.4</v>
      </c>
    </row>
    <row r="5" spans="1:8" x14ac:dyDescent="0.25">
      <c r="A5" t="s">
        <v>7</v>
      </c>
      <c r="B5" s="6">
        <v>3.254</v>
      </c>
      <c r="H5" s="6"/>
    </row>
    <row r="6" spans="1:8" x14ac:dyDescent="0.25">
      <c r="A6" t="s">
        <v>15</v>
      </c>
      <c r="B6" s="6">
        <v>2.1</v>
      </c>
      <c r="H6" s="6"/>
    </row>
    <row r="7" spans="1:8" x14ac:dyDescent="0.25">
      <c r="A7" t="s">
        <v>3</v>
      </c>
      <c r="B7" s="6">
        <v>3.5</v>
      </c>
      <c r="H7" s="6"/>
    </row>
    <row r="8" spans="1:8" x14ac:dyDescent="0.25">
      <c r="A8" t="s">
        <v>22</v>
      </c>
      <c r="B8" s="6">
        <v>6.4</v>
      </c>
      <c r="H8" s="6"/>
    </row>
    <row r="9" spans="1:8" x14ac:dyDescent="0.25">
      <c r="A9" t="s">
        <v>16</v>
      </c>
      <c r="B9" s="6">
        <v>6</v>
      </c>
    </row>
    <row r="10" spans="1:8" x14ac:dyDescent="0.25">
      <c r="A10" t="s">
        <v>18</v>
      </c>
      <c r="B10" s="6">
        <v>6.3</v>
      </c>
    </row>
    <row r="11" spans="1:8" x14ac:dyDescent="0.25">
      <c r="A11" t="s">
        <v>4</v>
      </c>
      <c r="B11" s="6">
        <v>1.5</v>
      </c>
    </row>
    <row r="12" spans="1:8" x14ac:dyDescent="0.25">
      <c r="A12" t="s">
        <v>23</v>
      </c>
      <c r="B12" s="6">
        <v>3.8</v>
      </c>
    </row>
    <row r="13" spans="1:8" x14ac:dyDescent="0.25">
      <c r="A13" t="s">
        <v>20</v>
      </c>
      <c r="B13" s="6">
        <v>6</v>
      </c>
    </row>
    <row r="14" spans="1:8" x14ac:dyDescent="0.25">
      <c r="A14" t="s">
        <v>19</v>
      </c>
      <c r="B14" s="6">
        <v>6.7</v>
      </c>
    </row>
    <row r="15" spans="1:8" x14ac:dyDescent="0.25">
      <c r="A15" t="s">
        <v>1</v>
      </c>
      <c r="B15" s="6">
        <v>6.1</v>
      </c>
    </row>
    <row r="16" spans="1:8" x14ac:dyDescent="0.25">
      <c r="A16" t="s">
        <v>17</v>
      </c>
      <c r="B16" s="6">
        <v>6.3</v>
      </c>
    </row>
    <row r="20" spans="10:10" x14ac:dyDescent="0.25">
      <c r="J20" s="1"/>
    </row>
    <row r="21" spans="10:10" x14ac:dyDescent="0.25">
      <c r="J21" s="1"/>
    </row>
    <row r="22" spans="10:10" x14ac:dyDescent="0.25">
      <c r="J22" s="1"/>
    </row>
    <row r="23" spans="10:10" x14ac:dyDescent="0.25">
      <c r="J23" s="1"/>
    </row>
    <row r="24" spans="10:10" x14ac:dyDescent="0.25">
      <c r="J24" s="1"/>
    </row>
    <row r="25" spans="10:10" x14ac:dyDescent="0.25">
      <c r="J25" s="1"/>
    </row>
    <row r="26" spans="10:10" x14ac:dyDescent="0.25">
      <c r="J26" s="1"/>
    </row>
  </sheetData>
  <dataValidations disablePrompts="1" count="2">
    <dataValidation type="list" allowBlank="1" showInputMessage="1" showErrorMessage="1" sqref="G5:G8">
      <formula1>rngFoodItem</formula1>
    </dataValidation>
    <dataValidation type="list" showInputMessage="1" showErrorMessage="1" sqref="J20:J26">
      <formula1>meal</formula1>
    </dataValidation>
  </dataValidation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2"/>
  <sheetViews>
    <sheetView workbookViewId="0">
      <selection activeCell="C33" sqref="C33"/>
    </sheetView>
  </sheetViews>
  <sheetFormatPr defaultRowHeight="15" x14ac:dyDescent="0.25"/>
  <cols>
    <col min="1" max="1" width="27.5703125" customWidth="1"/>
  </cols>
  <sheetData>
    <row r="1" spans="1:1" x14ac:dyDescent="0.25">
      <c r="A1" t="s">
        <v>8</v>
      </c>
    </row>
    <row r="2" spans="1:1" x14ac:dyDescent="0.25">
      <c r="A2" t="s">
        <v>2</v>
      </c>
    </row>
    <row r="3" spans="1:1" x14ac:dyDescent="0.25">
      <c r="A3" t="s">
        <v>30</v>
      </c>
    </row>
    <row r="4" spans="1:1" x14ac:dyDescent="0.25">
      <c r="A4" t="s">
        <v>32</v>
      </c>
    </row>
    <row r="5" spans="1:1" x14ac:dyDescent="0.25">
      <c r="A5" t="s">
        <v>28</v>
      </c>
    </row>
    <row r="6" spans="1:1" x14ac:dyDescent="0.25">
      <c r="A6" t="s">
        <v>5</v>
      </c>
    </row>
    <row r="7" spans="1:1" x14ac:dyDescent="0.25">
      <c r="A7" t="s">
        <v>26</v>
      </c>
    </row>
    <row r="8" spans="1:1" x14ac:dyDescent="0.25">
      <c r="A8" t="s">
        <v>27</v>
      </c>
    </row>
    <row r="9" spans="1:1" x14ac:dyDescent="0.25">
      <c r="A9" t="s">
        <v>29</v>
      </c>
    </row>
    <row r="10" spans="1:1" x14ac:dyDescent="0.25">
      <c r="A10" t="s">
        <v>31</v>
      </c>
    </row>
    <row r="11" spans="1:1" x14ac:dyDescent="0.25">
      <c r="A11" t="s">
        <v>6</v>
      </c>
    </row>
    <row r="12" spans="1:1" x14ac:dyDescent="0.25">
      <c r="A12" t="s">
        <v>55</v>
      </c>
    </row>
  </sheetData>
  <sortState ref="A1:A11">
    <sortCondition ref="A1:A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Order</vt:lpstr>
      <vt:lpstr>DummyData</vt:lpstr>
      <vt:lpstr>FoodItem</vt:lpstr>
      <vt:lpstr>Names</vt:lpstr>
      <vt:lpstr>names</vt:lpstr>
      <vt:lpstr>rngFoodItem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User-admin</dc:creator>
  <cp:lastModifiedBy>User-admin</cp:lastModifiedBy>
  <dcterms:created xsi:type="dcterms:W3CDTF">2022-03-18T18:23:07Z</dcterms:created>
  <dcterms:modified xsi:type="dcterms:W3CDTF">2023-07-08T18:22:42Z</dcterms:modified>
</cp:coreProperties>
</file>